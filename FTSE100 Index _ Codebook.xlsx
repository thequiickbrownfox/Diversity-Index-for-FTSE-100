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_short" sheetId="1" r:id="rId5"/>
    <sheet state="visible" name="codebook_full" sheetId="2" r:id="rId6"/>
    <sheet state="visible" name="company_info" sheetId="3" r:id="rId7"/>
    <sheet state="visible" name="sectors" sheetId="4" r:id="rId8"/>
    <sheet state="visible" name="r100_pillar_descriptions" sheetId="5" r:id="rId9"/>
    <sheet state="visible" name="target_categories" sheetId="6" r:id="rId10"/>
    <sheet state="hidden" name="r100_codebook_mini" sheetId="7" r:id="rId11"/>
  </sheets>
  <definedNames>
    <definedName hidden="1" localSheetId="1" name="Z_8E2F2C8E_7563_4F20_A56C_B57D528813E9_.wvu.FilterData">codebook_full!$A$1:$W$103</definedName>
    <definedName hidden="1" localSheetId="1" name="Z_0DDC9D3C_17C5_4F49_BF69_DB22FD325268_.wvu.FilterData">codebook_full!$A$1:$W$96</definedName>
    <definedName hidden="1" localSheetId="1" name="Z_5FBFCBF4_6E81_4D7D_8356_4C5F507B724C_.wvu.FilterData">codebook_full!$A$1:$W$103</definedName>
    <definedName hidden="1" localSheetId="1" name="Z_B535DCAD_8091_4C4A_AF03_561E8895F3CD_.wvu.FilterData">codebook_full!$A$1:$W$103</definedName>
    <definedName hidden="1" localSheetId="1" name="Z_CC18E927_817A_4473_8C4C_A499E9347B05_.wvu.FilterData">codebook_full!$A$1:$W$96</definedName>
    <definedName hidden="1" localSheetId="1" name="Z_0A5EDEEA_5901_4756_A671_BD42822B9057_.wvu.FilterData">codebook_full!$A$10:$A$11</definedName>
    <definedName hidden="1" localSheetId="1" name="Z_9A1B5E87_2260_40EE_A61B_7046D8F6A315_.wvu.FilterData">codebook_full!$A$1:$W$103</definedName>
    <definedName hidden="1" localSheetId="1" name="Z_69FB41B5_2426_44FA_8C6A_823C9CF1D04E_.wvu.FilterData">codebook_full!$C$1:$E$102</definedName>
    <definedName hidden="1" localSheetId="1" name="Z_551865D7_EC70_47CC_8046_496C17825C84_.wvu.FilterData">codebook_full!$A$1:$W$96</definedName>
  </definedNames>
  <calcPr/>
  <customWorkbookViews>
    <customWorkbookView activeSheetId="0" maximized="1" windowHeight="0" windowWidth="0" guid="{5FBFCBF4-6E81-4D7D-8356-4C5F507B724C}" name="Filter 6"/>
    <customWorkbookView activeSheetId="0" maximized="1" windowHeight="0" windowWidth="0" guid="{0A5EDEEA-5901-4756-A671-BD42822B9057}" name="Filter 7"/>
    <customWorkbookView activeSheetId="0" maximized="1" windowHeight="0" windowWidth="0" guid="{8E2F2C8E-7563-4F20-A56C-B57D528813E9}" name="Filter 4"/>
    <customWorkbookView activeSheetId="0" maximized="1" windowHeight="0" windowWidth="0" guid="{B535DCAD-8091-4C4A-AF03-561E8895F3CD}" name="Filter 5"/>
    <customWorkbookView activeSheetId="0" maximized="1" windowHeight="0" windowWidth="0" guid="{CC18E927-817A-4473-8C4C-A499E9347B05}" name="Filter 2"/>
    <customWorkbookView activeSheetId="0" maximized="1" windowHeight="0" windowWidth="0" guid="{551865D7-EC70-47CC-8046-496C17825C84}" name="Filter 3"/>
    <customWorkbookView activeSheetId="0" maximized="1" windowHeight="0" windowWidth="0" guid="{0DDC9D3C-17C5-4F49-BF69-DB22FD325268}" name="Filter 1"/>
    <customWorkbookView activeSheetId="0" maximized="1" windowHeight="0" windowWidth="0" guid="{69FB41B5-2426-44FA-8C6A-823C9CF1D04E}" name="Filter 8"/>
    <customWorkbookView activeSheetId="0" maximized="1" windowHeight="0" windowWidth="0" guid="{9A1B5E87-2260-40EE-A61B-7046D8F6A315}" name="Filter 9"/>
  </customWorkbookViews>
</workbook>
</file>

<file path=xl/sharedStrings.xml><?xml version="1.0" encoding="utf-8"?>
<sst xmlns="http://schemas.openxmlformats.org/spreadsheetml/2006/main" count="4724" uniqueCount="2013">
  <si>
    <t>Pillar</t>
  </si>
  <si>
    <t>Indicator Name</t>
  </si>
  <si>
    <t>Programmatic Name</t>
  </si>
  <si>
    <t>Code</t>
  </si>
  <si>
    <t>Description</t>
  </si>
  <si>
    <t>Unit</t>
  </si>
  <si>
    <t>Source</t>
  </si>
  <si>
    <t>Talk</t>
  </si>
  <si>
    <t>Count of words in reporting relating to Poverty and Wellbeing</t>
  </si>
  <si>
    <t>talk_wb_count</t>
  </si>
  <si>
    <t>T001</t>
  </si>
  <si>
    <t>The total number of references to selected keywords in Annual Reporting, Sustainability Reports and Websites; in this case related to Poverty &amp; Wellbeing.</t>
  </si>
  <si>
    <t>Count</t>
  </si>
  <si>
    <t>Annual Reports, Sustainability Reports and Company Websites</t>
  </si>
  <si>
    <t>Count of words in reporting relating to Education and Skills</t>
  </si>
  <si>
    <t>talk_skills_count</t>
  </si>
  <si>
    <t>T002</t>
  </si>
  <si>
    <t>The total number of references to selected keywords in Annual Reporting, Sustainability Reports and Websites; in this case related to Education &amp; Skills</t>
  </si>
  <si>
    <t>Count of words in reporting relating to Equality</t>
  </si>
  <si>
    <t>talk_equality_count</t>
  </si>
  <si>
    <t>T003</t>
  </si>
  <si>
    <t>The total number of references to selected keywords in Annual Reporting, Sustainability Reports and Websites; in this case related to Equality</t>
  </si>
  <si>
    <t>Count of words in reporting relating to Good Business</t>
  </si>
  <si>
    <t>talk_gb_count</t>
  </si>
  <si>
    <t>T004</t>
  </si>
  <si>
    <t>The total number of references to selected keywords in Annual Reporting, Sustainability Reports and Websites; in this case related to Good Business</t>
  </si>
  <si>
    <t>Count of words in reporting relating to Climate</t>
  </si>
  <si>
    <t>talk_climate_count</t>
  </si>
  <si>
    <t>T005</t>
  </si>
  <si>
    <t>The total number of references to selected keywords in Annual Reporting, Sustainability Reports and Websites; in this case related to Climate</t>
  </si>
  <si>
    <t>Count of words in reporting relating to Partnership</t>
  </si>
  <si>
    <t>talk_partnership_count</t>
  </si>
  <si>
    <t>T006</t>
  </si>
  <si>
    <t>The total number of references to selected keywords in Annual Reporting, Sustainability Reports and Websites; in this case related to Partnership</t>
  </si>
  <si>
    <t>Count of words in reporting relating to Justice</t>
  </si>
  <si>
    <t>talk_justice_count</t>
  </si>
  <si>
    <t>T007</t>
  </si>
  <si>
    <t>The total number of references to selected keywords in Annual Reporting, Sustainability Reports and Websites; in this case related to Justice</t>
  </si>
  <si>
    <t>Proportion of words in reporting relating to Poverty and Wellbeing</t>
  </si>
  <si>
    <t>talk_wb_pct</t>
  </si>
  <si>
    <t>T008</t>
  </si>
  <si>
    <t>The total number of references to selected keywords in Annual Reporting, Sustainability Reports and Websites as a proportion of total word count in analysed text; in this case related to Poverty &amp; Wellbeing</t>
  </si>
  <si>
    <t>Proportion of words in reporting relating to Education and Skills</t>
  </si>
  <si>
    <t>talk_skills_pct</t>
  </si>
  <si>
    <t>T009</t>
  </si>
  <si>
    <t>The total number of references to selected keywords in Annual Reporting, Sustainability Reports and Websites as a proportion of total word count in analysed text; in this case related to Education &amp; Skills</t>
  </si>
  <si>
    <t>Percentage</t>
  </si>
  <si>
    <t>Proportion of words in reporting relating to Equality</t>
  </si>
  <si>
    <t>talk_equality_pct</t>
  </si>
  <si>
    <t>T010</t>
  </si>
  <si>
    <t>The total number of references to selected keywords in Annual Reporting, Sustainability Reports and Websites as a proportion of total word count in analysed text; in this case related to Equality</t>
  </si>
  <si>
    <t>Proportion of words in reporting relating to Good Business</t>
  </si>
  <si>
    <t>talk_gb_pct</t>
  </si>
  <si>
    <t>T011</t>
  </si>
  <si>
    <t>The total number of references to selected keywords in Annual Reporting, Sustainability Reports and Websites as a proportion of total word count in analysed text; in this case related to Good Business</t>
  </si>
  <si>
    <t>Proportion of words in reporting relating to Climate</t>
  </si>
  <si>
    <t>talk_climate_pct</t>
  </si>
  <si>
    <t>T012</t>
  </si>
  <si>
    <t>The total number of references to selected keywords in Annual Reporting, Sustainability Reports and Websites as a proportion of total word count in analysed text; in this case related to Climate</t>
  </si>
  <si>
    <t>Proportion of words in reporting relating to Partnership</t>
  </si>
  <si>
    <t>talk_partnership_pct</t>
  </si>
  <si>
    <t>T013</t>
  </si>
  <si>
    <t>The total number of references to selected keywords in Annual Reporting, Sustainability Reports and Websites as a proportion of total word count in analysed text; in this case related to Partnership</t>
  </si>
  <si>
    <t>Proportion of words in reporting relating to Justice</t>
  </si>
  <si>
    <t>talk_justice_pct</t>
  </si>
  <si>
    <t>T014</t>
  </si>
  <si>
    <t>The total number of references to selected keywords in Annual Reporting, Sustainability Reports and Websites as a proportion of total word count in analysed text; in this case related to Justice</t>
  </si>
  <si>
    <t>Membership</t>
  </si>
  <si>
    <t>RE100 membership</t>
  </si>
  <si>
    <t>talk_re100</t>
  </si>
  <si>
    <t>T015</t>
  </si>
  <si>
    <t>This indicator is a binary variable indicating whether a company has signed up to the RE100 initiative or not.</t>
  </si>
  <si>
    <t>1/0</t>
  </si>
  <si>
    <t>RE100 http://there100.org/</t>
  </si>
  <si>
    <t>CDP participation</t>
  </si>
  <si>
    <t>talk_cdp</t>
  </si>
  <si>
    <t>T016</t>
  </si>
  <si>
    <t>A binary variable indicating whether a company agreed to, and supplied sufficient information to be ranked by the CDP (formerly the Carbon Disclosure Project).</t>
  </si>
  <si>
    <t>CDP https://www.cdp.net/en/companies/companies-scores</t>
  </si>
  <si>
    <t>We Mean Business Coalition membership</t>
  </si>
  <si>
    <t>talk_wmb</t>
  </si>
  <si>
    <t>T017</t>
  </si>
  <si>
    <t>A binary variable indicating whether a company has signed up to the We Mean Business initiative or not.</t>
  </si>
  <si>
    <t>We Mean Business https://www.wemeanbusinesscoalition.org/</t>
  </si>
  <si>
    <t>UN Global Compact membership</t>
  </si>
  <si>
    <t>talk_ungc</t>
  </si>
  <si>
    <t>T018</t>
  </si>
  <si>
    <t>This indicator is a binary variable indicating whether a company has signed up to the UN Global Compact or not.</t>
  </si>
  <si>
    <t>UN Global Compact https://www.unglobalcompact.org/what-is-gc/participants</t>
  </si>
  <si>
    <t>Institute of Corporate Responsibility and Sustainability membership</t>
  </si>
  <si>
    <t>talk_icrs</t>
  </si>
  <si>
    <t>T019</t>
  </si>
  <si>
    <t>This indicator is a binary variable indicating whether a company has signed up as an organisation to the Institute of Corporate Responsibility and Sustainability.</t>
  </si>
  <si>
    <t>ICRS https://icrs.info/</t>
  </si>
  <si>
    <t>Poverty and Wellbeing</t>
  </si>
  <si>
    <t>Living Wage provider</t>
  </si>
  <si>
    <t>wb_living_wage</t>
  </si>
  <si>
    <t>W001</t>
  </si>
  <si>
    <t>A binary variable indicating whether a company is an accredited living wage provider or not.</t>
  </si>
  <si>
    <t>Living Wage Foundation https://www.livingwage.org.uk/</t>
  </si>
  <si>
    <t>Prompt Payment Code signatory</t>
  </si>
  <si>
    <t>wb_ppc_signatory</t>
  </si>
  <si>
    <t>W002</t>
  </si>
  <si>
    <t>A variable indicating a company's level of participation in the Prompt Payment Code. 0 indicates a company does not participate, 1 indicates the company has participated but since been suspended from the Code; 2 means the company is an active signatory of the Code.</t>
  </si>
  <si>
    <t>2/1/0</t>
  </si>
  <si>
    <t>PPC http://www.promptpaymentcode.org.uk/</t>
  </si>
  <si>
    <t>Makes food donations</t>
  </si>
  <si>
    <t>wb_food_donations</t>
  </si>
  <si>
    <t>W003</t>
  </si>
  <si>
    <t>A binary variable indicating whether a company reported donations to a food bank.</t>
  </si>
  <si>
    <t>Annual Report</t>
  </si>
  <si>
    <t>Provision of nutritional training for all employees</t>
  </si>
  <si>
    <t>wb_nutrition_training</t>
  </si>
  <si>
    <t>W005</t>
  </si>
  <si>
    <t>A binary indicator showing whether or not the company/group provides training or diet and nutrition to employees.</t>
  </si>
  <si>
    <t>Total volume of food waste (kg)</t>
  </si>
  <si>
    <t>wb_food_waste</t>
  </si>
  <si>
    <t>W006</t>
  </si>
  <si>
    <t>The total volume of food waste reported by the company/group, including food waste to landfill</t>
  </si>
  <si>
    <t>Kilograms</t>
  </si>
  <si>
    <t>Annual Report, Waste Report</t>
  </si>
  <si>
    <t>Provision of healthcare services to all employees</t>
  </si>
  <si>
    <t>wb_healthcare</t>
  </si>
  <si>
    <t>W007</t>
  </si>
  <si>
    <t>A binary indicator showing whether or not the company/group provides healthcare i.e. on-site GP practices, free consultations or treatment, to all employees.</t>
  </si>
  <si>
    <t>Annual reports/Company benefits</t>
  </si>
  <si>
    <t>Has a mental health policy</t>
  </si>
  <si>
    <t>wb_mental_health</t>
  </si>
  <si>
    <t>W008</t>
  </si>
  <si>
    <t>A binary indicator showing whether or not the company/group operates a mental health policy i.e. guidelines on supporting staff, identifying potential risks and creating an environment in which people can communicate about mental health.</t>
  </si>
  <si>
    <t>Mental Health Policy</t>
  </si>
  <si>
    <t>Provides mental health training or counselling</t>
  </si>
  <si>
    <t>wb_mental_health_training</t>
  </si>
  <si>
    <t>W009</t>
  </si>
  <si>
    <t>A binary indicator showing whether or not the company/group provides training to staff, or counselling by third-parties to improve support for staff who are at risk of, or suffering from mental health issues.</t>
  </si>
  <si>
    <t>Mental Health Policy/Annual Report</t>
  </si>
  <si>
    <t>Provides subsidised gym membership</t>
  </si>
  <si>
    <t>wb_gym</t>
  </si>
  <si>
    <t>W010</t>
  </si>
  <si>
    <t>A binary indicator showing whether or not a company/group provides subsidised gym memberships to employees.</t>
  </si>
  <si>
    <t>Annual report/company benefits</t>
  </si>
  <si>
    <t>Provides flexible working hours</t>
  </si>
  <si>
    <t>wb_flexible</t>
  </si>
  <si>
    <t>W011</t>
  </si>
  <si>
    <t>A binary indicator showing whether or not a company provides employees with the option to work flexible hours; in many cases the provision of flexible scheduling is not company-wide, where available those companies that provide some flexible hour options are stated as 1.</t>
  </si>
  <si>
    <t>Annual Report/company benefits</t>
  </si>
  <si>
    <t>Number of apprentices</t>
  </si>
  <si>
    <t>wb_apprentices</t>
  </si>
  <si>
    <t>W012</t>
  </si>
  <si>
    <t>The total number of employees reported as apprentices hired in the most recent reporting period</t>
  </si>
  <si>
    <t>Apprentices as a proportion of employees (%)</t>
  </si>
  <si>
    <t>wb_apprentices_employees</t>
  </si>
  <si>
    <t>W013</t>
  </si>
  <si>
    <t>The percentage of total employees reported as apprentices.</t>
  </si>
  <si>
    <t>Number of injuries</t>
  </si>
  <si>
    <t>wb_injuries</t>
  </si>
  <si>
    <t>W014</t>
  </si>
  <si>
    <t>The number of workplace injuries reported by the company/group; in some cases these are the number of injuries in absolute terms, or an extrapolation from the stated Lost Time Injury Frequency Rate or equivalent.</t>
  </si>
  <si>
    <t>Injuries as a proportion of employees (%)</t>
  </si>
  <si>
    <t>wb_injuries_employees</t>
  </si>
  <si>
    <t>W015</t>
  </si>
  <si>
    <t>The number of workplace injuries reported by the company/group as a proportion of total employee number; in some cases these are the number of injuries in absolute terms, or an extrapolation from the stated Lost Time Injury Frequency Rate or equivalent.</t>
  </si>
  <si>
    <t>Number of fatalities</t>
  </si>
  <si>
    <t>wb_fatalities</t>
  </si>
  <si>
    <t>W016</t>
  </si>
  <si>
    <t>The number of fatalities at the company/group</t>
  </si>
  <si>
    <t>Fatalities as a proportion of employees (%)</t>
  </si>
  <si>
    <t>wb_fatalities_employees</t>
  </si>
  <si>
    <t>W017</t>
  </si>
  <si>
    <t>The number of fatalities at the company/group as a proportion of the total employee number.</t>
  </si>
  <si>
    <t>Prompt Payment Code signup date</t>
  </si>
  <si>
    <t>wb_ppc_date</t>
  </si>
  <si>
    <t>W018</t>
  </si>
  <si>
    <t>The date a company signed up to participate in the Prompt Payment Code.</t>
  </si>
  <si>
    <t>Date</t>
  </si>
  <si>
    <t>Prompt Payment Code time agreement</t>
  </si>
  <si>
    <t>wb_ppc_time</t>
  </si>
  <si>
    <t>W019</t>
  </si>
  <si>
    <t>The agreed payment time stated within the company's application to participate in the Prompt Payment Code.</t>
  </si>
  <si>
    <t>Days</t>
  </si>
  <si>
    <t>Skills and Education</t>
  </si>
  <si>
    <t>Employee hours a week dedicated to training or upskilling</t>
  </si>
  <si>
    <t>skills_training_hours</t>
  </si>
  <si>
    <t>S001</t>
  </si>
  <si>
    <t>The number of hours per week dedicated to training or skills development; in some cases this is calculated on a per employee basis using the total number of employees and the annual total of training hours at the company/group.</t>
  </si>
  <si>
    <t>Hours</t>
  </si>
  <si>
    <t>Presence of dedicated company resource for learning</t>
  </si>
  <si>
    <t>skills_training_resource</t>
  </si>
  <si>
    <t>S002</t>
  </si>
  <si>
    <t>A binary indicator showing whether a company/group has a dedicated learning resource available to staff for training and skills acquisition.</t>
  </si>
  <si>
    <t>Number of graduates</t>
  </si>
  <si>
    <t>skills_graduates</t>
  </si>
  <si>
    <t>S003</t>
  </si>
  <si>
    <t>The total employees reported as graduates.</t>
  </si>
  <si>
    <t>Proportion of employees as graduates (%)</t>
  </si>
  <si>
    <t>skills_graduates_employees</t>
  </si>
  <si>
    <t>S004</t>
  </si>
  <si>
    <t>The percentage of total employees reported as graduates.</t>
  </si>
  <si>
    <t>Number of employees receiving training</t>
  </si>
  <si>
    <t>skills_training_employees</t>
  </si>
  <si>
    <t>S005</t>
  </si>
  <si>
    <t>The total number of employees reported as receiving non-mandatory training.</t>
  </si>
  <si>
    <t>Proportion of employees receiving training (%)</t>
  </si>
  <si>
    <t>skills_training_employees_pct</t>
  </si>
  <si>
    <t>S006</t>
  </si>
  <si>
    <t>The percentage of total employees reported as receiving non-mandatory training.</t>
  </si>
  <si>
    <t>Training investment (£)</t>
  </si>
  <si>
    <t>skills_training_spend</t>
  </si>
  <si>
    <t>S007</t>
  </si>
  <si>
    <t>The total amount of investment into training by a company/group.</t>
  </si>
  <si>
    <t>GBP</t>
  </si>
  <si>
    <t>Training investment per employee (£)</t>
  </si>
  <si>
    <t>skills_training_spend_employees</t>
  </si>
  <si>
    <t>S008</t>
  </si>
  <si>
    <t>The total amount of investment into training by a company/group as a proportion of the total number of employees.</t>
  </si>
  <si>
    <t>Training investment per revenue (£)</t>
  </si>
  <si>
    <t>skills_training_spend_revenue</t>
  </si>
  <si>
    <t>S009</t>
  </si>
  <si>
    <t>The total amount of investment into training by a company/group as a proportion of total revenue.</t>
  </si>
  <si>
    <t>Number of people reached by education and skills programmes</t>
  </si>
  <si>
    <t>skills_reach</t>
  </si>
  <si>
    <t>S010</t>
  </si>
  <si>
    <t>The number of people impacted by reported outreach focused on skill-building i.e. programmes, donations, schemes and volunteering all contribute. In many cases companies/groups report a total figure, in others this is calculated as the sum of individual reports within a given year.</t>
  </si>
  <si>
    <t>Equality</t>
  </si>
  <si>
    <t>Most recent graduate intake who are female (%)</t>
  </si>
  <si>
    <t>equality_female_graduates</t>
  </si>
  <si>
    <t>E001</t>
  </si>
  <si>
    <t>The percentage of recent graduates hired by the company/group that are female.</t>
  </si>
  <si>
    <t>Annual Report, Pay Gap Report</t>
  </si>
  <si>
    <t>Senior manageers who are female (%)</t>
  </si>
  <si>
    <t>equality_female_management</t>
  </si>
  <si>
    <t>E002</t>
  </si>
  <si>
    <t>The percentage of senior management active at the company/group that are female.</t>
  </si>
  <si>
    <t>Employees who are female (%)</t>
  </si>
  <si>
    <t>equality_female_employees</t>
  </si>
  <si>
    <t>E003</t>
  </si>
  <si>
    <t>The percentage of total employees at the company/group that are female.</t>
  </si>
  <si>
    <t>Length of primary parental leave, fully-paid</t>
  </si>
  <si>
    <t>equality_leave_primary</t>
  </si>
  <si>
    <t>E004</t>
  </si>
  <si>
    <t>The total length of paid maternity leave provided by the company/group; according to their maternity/paternity policy where one exists.</t>
  </si>
  <si>
    <t>Weeks</t>
  </si>
  <si>
    <t>Maternity/Paternity Policy, Annual Report</t>
  </si>
  <si>
    <t>Length of secondary parental leave, fully-paid</t>
  </si>
  <si>
    <t>equality_leave_secondary</t>
  </si>
  <si>
    <t>E005</t>
  </si>
  <si>
    <t>The total length of paid parental leave provided by the company/group to 'secondary' parental figures' according to their maternity/paternity policy where one exists.</t>
  </si>
  <si>
    <t>Gender pay gap (%)</t>
  </si>
  <si>
    <t>equality_gender_pay</t>
  </si>
  <si>
    <t>E006</t>
  </si>
  <si>
    <t>The absolute percentage difference between the median pay of a company's male and female employees. (median)</t>
  </si>
  <si>
    <t>Annual Report, Gender Pay Gap Report</t>
  </si>
  <si>
    <t>Gender pay gap improvement (% change)</t>
  </si>
  <si>
    <t>equality_gender_pay_improvement</t>
  </si>
  <si>
    <t>E007</t>
  </si>
  <si>
    <t>The percentage difference year on year of a company’s gender pay gap.</t>
  </si>
  <si>
    <t>Directors who are female (%)</t>
  </si>
  <si>
    <t>equality_gender_directors</t>
  </si>
  <si>
    <t>E008</t>
  </si>
  <si>
    <t>The proportion of a company’s board of directors that is female, not including secretaries. As there has been a historic trend of male dominated boards and the relative few numbers of people on a board we have made the decision that the larger proportion the better.</t>
  </si>
  <si>
    <t>New directors appointed who are female (%)</t>
  </si>
  <si>
    <t>equality_gender_appointments</t>
  </si>
  <si>
    <t>E009</t>
  </si>
  <si>
    <t>The proportion of recent hires (since 2016) of directors to a company’s board. Given that very few of the FTSE 100 boards were evenly proportioned, and that the highest hiring proportion is 75% we have decided that the higher hiring proportion the better.</t>
  </si>
  <si>
    <t>WISE membership</t>
  </si>
  <si>
    <t>equality_wise</t>
  </si>
  <si>
    <t>E010</t>
  </si>
  <si>
    <t>A binary variable indicating whether a company is a member of the WISE Campaign (Women in Science and Engineering)</t>
  </si>
  <si>
    <t>WISE Campaign https://www.wisecampaign.org.uk/</t>
  </si>
  <si>
    <t>Level of WISE membership</t>
  </si>
  <si>
    <t>equality_wise_level</t>
  </si>
  <si>
    <t>E011</t>
  </si>
  <si>
    <t>A variable indicating the level of a company's membership of the WISE (Women in Science and Engineering) Campaign. 1 indicates the company is an Online Member, 2 indicates Core Member, 3 indicates Premium Member and 4 indicates Strategic Partner.</t>
  </si>
  <si>
    <t>4/3/2/1/0</t>
  </si>
  <si>
    <t>Employees who are BAME (%)</t>
  </si>
  <si>
    <t>equality_bame_employees</t>
  </si>
  <si>
    <t>E012</t>
  </si>
  <si>
    <t>The percentage of total employees at the company/group who identify as Black, Asian or Minority Ethnic.</t>
  </si>
  <si>
    <t>BAME pay gap (%)</t>
  </si>
  <si>
    <t>equality_bame_pay</t>
  </si>
  <si>
    <t>E013</t>
  </si>
  <si>
    <t>The absolute percentage difference between BAME and non-BAME identifying employees at the company/group (median)</t>
  </si>
  <si>
    <t>Senior managers who are BAME (%)</t>
  </si>
  <si>
    <t>equality_bame_management</t>
  </si>
  <si>
    <t>E014</t>
  </si>
  <si>
    <t>The percentage of senior management active at the company who identify as Black, Asian or Minority Ethnic</t>
  </si>
  <si>
    <t>Employees who are LGBT+ (%)</t>
  </si>
  <si>
    <t>equality_lgbt_employees</t>
  </si>
  <si>
    <t>E015</t>
  </si>
  <si>
    <t>The percentage of total employees at the company/group who identify as Lesbian, Gay, Bisexual, Transsexual; plus other non-binary groups.</t>
  </si>
  <si>
    <t>LGBT+ pay gap (%)</t>
  </si>
  <si>
    <t>equality_lgbt_pay</t>
  </si>
  <si>
    <t>E016</t>
  </si>
  <si>
    <t>The absolute percentage difference in pay between LGBT+ and non-LGBT+ identifying employees at the company/group (median)</t>
  </si>
  <si>
    <t>Senior managers who are LGBT+ (%)</t>
  </si>
  <si>
    <t>equality_lgbt_management</t>
  </si>
  <si>
    <t>E017</t>
  </si>
  <si>
    <t>The percentage of senior management active at the company/group who identify as LGBT+</t>
  </si>
  <si>
    <t>Employees disclosed as disabled (%)</t>
  </si>
  <si>
    <t>equality_disability_employees</t>
  </si>
  <si>
    <t>E018</t>
  </si>
  <si>
    <t>The percentage of total employees at the company/group who identify as LGBT+</t>
  </si>
  <si>
    <t>Disability pay gap (%)</t>
  </si>
  <si>
    <t>equality_disability_pay</t>
  </si>
  <si>
    <t>E019</t>
  </si>
  <si>
    <t>The absolute percentage difference in pay between employees disclosed as disabled and those who are not. (median)</t>
  </si>
  <si>
    <t>Senior managers disclosed as disabled (%)</t>
  </si>
  <si>
    <t>equality_disability_management</t>
  </si>
  <si>
    <t>E020</t>
  </si>
  <si>
    <t>The percentage of senior management active at the company/group who are disclosed as disabled.</t>
  </si>
  <si>
    <t>Presence of BAME pay gap reporting</t>
  </si>
  <si>
    <t>equality_bame_reporting</t>
  </si>
  <si>
    <t>E021</t>
  </si>
  <si>
    <t>A binary indicator showing whether or not BAME Pay Gap Reporting is being undertaken by the company/group</t>
  </si>
  <si>
    <t>Presence of LGBT+ pay gap reporting</t>
  </si>
  <si>
    <t>equality_lgbt_reporting</t>
  </si>
  <si>
    <t>E022</t>
  </si>
  <si>
    <t>A binary indicator showing whether or not LGBT+ Pay Gap Reporting is being undertaken by the company/group</t>
  </si>
  <si>
    <t>Presence of disability pay gap reporting</t>
  </si>
  <si>
    <t>equality_disability_reporting</t>
  </si>
  <si>
    <t>E023</t>
  </si>
  <si>
    <t>A binary indicator showing whether or not Disability Pay Gap Reporting is being undertaken by the company/group</t>
  </si>
  <si>
    <t>Gender bonus pay gap</t>
  </si>
  <si>
    <t>equality_gender_bonus</t>
  </si>
  <si>
    <t>E024</t>
  </si>
  <si>
    <t>The absolute percentage difference between the median bonus of a company's male and female employees. (median)</t>
  </si>
  <si>
    <t>Annual Report or GOV.UK</t>
  </si>
  <si>
    <t>Gender pay gap from previous year</t>
  </si>
  <si>
    <t>equality_gender_pay_previous</t>
  </si>
  <si>
    <t>E025</t>
  </si>
  <si>
    <t>The absolute percentage difference between the median pay of a company's male and female employees from the previous reporting period. (median)</t>
  </si>
  <si>
    <t>Has met Parker Review target</t>
  </si>
  <si>
    <t>equality_parker</t>
  </si>
  <si>
    <t>E026</t>
  </si>
  <si>
    <t>A binary variable indicating whether a company has met the Parker Review target of at least one non-white board-level director.</t>
  </si>
  <si>
    <t>Parker Review 2020 Update https://assets.ey.com/content/dam/ey-sites/ey-com/en_uk/news/2020/02/ey-parker-review-2020-report-final.pdf</t>
  </si>
  <si>
    <t>Good Business</t>
  </si>
  <si>
    <t>Effective tax rate</t>
  </si>
  <si>
    <t>gb_tax_effective</t>
  </si>
  <si>
    <t>G001</t>
  </si>
  <si>
    <t>The amount of tax a company has paid as a proportion of its income as reported within its latest consolidated income statement.</t>
  </si>
  <si>
    <t>Fair tax mark</t>
  </si>
  <si>
    <t>gb_ftm</t>
  </si>
  <si>
    <t>G002</t>
  </si>
  <si>
    <t>A binary variable indicating whether a company has Fair Tax Mark accreditation.</t>
  </si>
  <si>
    <t>Fair Tax Mark Website</t>
  </si>
  <si>
    <t>Employee turnover</t>
  </si>
  <si>
    <t>gb_turnover</t>
  </si>
  <si>
    <t>G003</t>
  </si>
  <si>
    <t>The overall turnover of a company's staff as existing employees leave and new ones are hired.</t>
  </si>
  <si>
    <t>Employee satisfaction</t>
  </si>
  <si>
    <t>gb_satisfaction</t>
  </si>
  <si>
    <t>G004</t>
  </si>
  <si>
    <t>The proportion of a company's employees that reported job satisfaction in the company's latest employee engagement survey.</t>
  </si>
  <si>
    <t>Cycle to work scheme</t>
  </si>
  <si>
    <t>gb_cycle</t>
  </si>
  <si>
    <t>G005</t>
  </si>
  <si>
    <t>A binary variable indicating whether a company offers a cycle to work scherme for its employees.</t>
  </si>
  <si>
    <t>Season ticket loan provider</t>
  </si>
  <si>
    <t>gb_ticket</t>
  </si>
  <si>
    <t>G006</t>
  </si>
  <si>
    <t>A binary variable indicating whether a company offers loans for employees purchasing season travel tickets.</t>
  </si>
  <si>
    <t>Proportion of company's offices with sustainability certification</t>
  </si>
  <si>
    <t>gb_certification</t>
  </si>
  <si>
    <t>G007</t>
  </si>
  <si>
    <t>The proportion of a company's offices that have received certification for being sustainable.</t>
  </si>
  <si>
    <t>CEO remuneration (£)</t>
  </si>
  <si>
    <t>gb_ceo</t>
  </si>
  <si>
    <t>G008</t>
  </si>
  <si>
    <t>The total remuneration received by the CEO in £ in a company's lastest annual report.</t>
  </si>
  <si>
    <t>Proportion of subsidiaries not in tax havens (%)</t>
  </si>
  <si>
    <t>gb_havens</t>
  </si>
  <si>
    <t>G009</t>
  </si>
  <si>
    <t>The proportion of subsidiaries of a company not residing in a tax haven, as defined by the EU's blacklist and greylist of tax havens as of December 2018. Blacklisted countries: American Samoa, Guam, Samoa, Trinidad and Tobago, US Virgin Islands. Greylisted countries: Albania, Anguilla, Antigua and Barbuda, Armenia, Aruba, Bahamas, Bahrain, Barbados, Belize, Bermuda, Bosnia and Herzegovina, Botswana, British Virgin Islands, Cabo Verde, Cayman Islands, Cook Islands, Dominica, South Korea, Curacao, UAE, Faroe Islands, Fiji, Granada, Greenland, Guernsey, Hong Kong, Jamaica, Jersey, Jordan, Labuan Island, Macao, Qatar, North Macedonia, Malaysia, Maldives, Isle of Man, Marshall Islands, Morocco, Mauritius, Mongolia, Montenegro, Namibia, Nauru, Niue, New Caledonia, Oman, Palau, Panama, Saint Kitts and Nevis, Saint Lucia, Saint Vincent and the Grenadines, Serbia, Seychelles, Switzerland, Eswatini, Taiwan, Thailand, Tunisia, Turkey, Turks and Caicos Islands, Uruguay, Vanuatu, Vietnam</t>
  </si>
  <si>
    <t>Revenue (£)</t>
  </si>
  <si>
    <t>gb_revenue</t>
  </si>
  <si>
    <t>G010</t>
  </si>
  <si>
    <t>The total amount of revenue in £ generated by a company/group in the most recently reported year.</t>
  </si>
  <si>
    <t>Yahoo Finance</t>
  </si>
  <si>
    <t>Revenue growth (% change)</t>
  </si>
  <si>
    <t>gb_revenue_growth</t>
  </si>
  <si>
    <t>G011</t>
  </si>
  <si>
    <t>The total amount of revenue growth, as a percentage, at a company/group in the most recently reported year.</t>
  </si>
  <si>
    <t>Percentage (Change)</t>
  </si>
  <si>
    <t>Profit before tax (£)</t>
  </si>
  <si>
    <t>gb_profit</t>
  </si>
  <si>
    <t>G012</t>
  </si>
  <si>
    <t>The total amount of profit before tax in £ at a company/group in the most recently reported year.</t>
  </si>
  <si>
    <t>Profit to revenue ratio</t>
  </si>
  <si>
    <t>gb_profit_ratio</t>
  </si>
  <si>
    <t>G013</t>
  </si>
  <si>
    <t>The ratio of total profit before tax and total revenue at a company/group.</t>
  </si>
  <si>
    <t>Tax (£)</t>
  </si>
  <si>
    <t>gb_tax</t>
  </si>
  <si>
    <t>G014</t>
  </si>
  <si>
    <t>The total tax expense in £ of a company/group in the most recently reported year.</t>
  </si>
  <si>
    <t>Tax as a proportion of profit (%)</t>
  </si>
  <si>
    <t>gb_tax_profit</t>
  </si>
  <si>
    <t>G015</t>
  </si>
  <si>
    <t>The total income tax expense paid by a company/group as a percentage of reported profit before tax.</t>
  </si>
  <si>
    <t>Tax as a proportion of revenue (%)</t>
  </si>
  <si>
    <t>gb_tax_revenue</t>
  </si>
  <si>
    <t>G016</t>
  </si>
  <si>
    <t>The total income tax expense paid by a company/group as a proportion of total revenue reported by the company/group in the most recently reported year.</t>
  </si>
  <si>
    <t>R&amp;D spend (£)</t>
  </si>
  <si>
    <t>gb_rd</t>
  </si>
  <si>
    <t>G017</t>
  </si>
  <si>
    <t>The total amount spend on research and development by a company/group in the most recently reported year.</t>
  </si>
  <si>
    <t>R&amp;D spend as a proportion of revenue (%)</t>
  </si>
  <si>
    <t>gb_rd_revenue</t>
  </si>
  <si>
    <t>G018</t>
  </si>
  <si>
    <t>The total reported expenditure on research and development by a company/group as a proportion of total revenue reported by the company/group in the most recently reported year.</t>
  </si>
  <si>
    <t>Employee growth (% change)</t>
  </si>
  <si>
    <t>gb_employee_growth</t>
  </si>
  <si>
    <t>G019</t>
  </si>
  <si>
    <t>The percentage increase in the total number of employees as full time equivalents.</t>
  </si>
  <si>
    <t>Revenue in previous year (£)</t>
  </si>
  <si>
    <t>gb_revenue_prev</t>
  </si>
  <si>
    <t>G020</t>
  </si>
  <si>
    <t>The total amount of revenue in £ generated by a company/group in the previously reported year.</t>
  </si>
  <si>
    <t>Profit before tax in previous year (£)</t>
  </si>
  <si>
    <t>gb_profit_prev</t>
  </si>
  <si>
    <t>G021</t>
  </si>
  <si>
    <t>The total amount of profit before tax in £ at a company/group in the previously reported year.</t>
  </si>
  <si>
    <t>Tax in previous year (£)</t>
  </si>
  <si>
    <t>gb_tax_prev</t>
  </si>
  <si>
    <t>G022</t>
  </si>
  <si>
    <t>Climate</t>
  </si>
  <si>
    <t>Scope 1 and 2 greenhouse gas emissions (tonnes CO2e)</t>
  </si>
  <si>
    <t>climate_scope12</t>
  </si>
  <si>
    <t>C001</t>
  </si>
  <si>
    <t>The amount of scope 1 (all direct) and scope 2 (all indirect) emissions reported by a company in its most recent annual report as measured in tonnes of carbon dioxide equivalent.</t>
  </si>
  <si>
    <t>Tonnes of CO2e</t>
  </si>
  <si>
    <t>Annual Report, Sustainability Report</t>
  </si>
  <si>
    <t>Reduction in emissions intensity (% change)</t>
  </si>
  <si>
    <t>climate_intensity_reduction</t>
  </si>
  <si>
    <t>C002</t>
  </si>
  <si>
    <t>The total percentage change in emissions intensity.</t>
  </si>
  <si>
    <t>Area conserved or protected (square metres)</t>
  </si>
  <si>
    <t>climate_conserved</t>
  </si>
  <si>
    <t>C003</t>
  </si>
  <si>
    <t>The total area of land, forestry, coastal zone or other ecosystem conserved or protected by a company/group.</t>
  </si>
  <si>
    <t>Square meters</t>
  </si>
  <si>
    <t>Water consumption (cubic metres)</t>
  </si>
  <si>
    <t>climate_water</t>
  </si>
  <si>
    <t>C004</t>
  </si>
  <si>
    <t>The total amount of water used by a company/group.</t>
  </si>
  <si>
    <t>Cubic meters</t>
  </si>
  <si>
    <t>Proportion of energy from renewable sources (%)</t>
  </si>
  <si>
    <t>climate_renewable_energy</t>
  </si>
  <si>
    <t>C005</t>
  </si>
  <si>
    <t>The percentage of total energy used by a company/group that is from a renewable source.</t>
  </si>
  <si>
    <t>Proportion of electricity from renewable sources (%)</t>
  </si>
  <si>
    <t>climate_renewable_electricity</t>
  </si>
  <si>
    <t>C006</t>
  </si>
  <si>
    <t>The percentage of total electricity used by a company/group that is from a renewable source.</t>
  </si>
  <si>
    <t>Energy consumption (MWh)</t>
  </si>
  <si>
    <t>climate_energy</t>
  </si>
  <si>
    <t>C007</t>
  </si>
  <si>
    <t>The total energy use of a company/group.</t>
  </si>
  <si>
    <t>MWH</t>
  </si>
  <si>
    <t>Reduction in energy use (% change)</t>
  </si>
  <si>
    <t>climate_energy_reduction</t>
  </si>
  <si>
    <t>C008</t>
  </si>
  <si>
    <t>The total reduction in year-on-year energy used by a company/group.</t>
  </si>
  <si>
    <t>Proportion of total waste to landfill (%)</t>
  </si>
  <si>
    <t>climate_waste_landfill</t>
  </si>
  <si>
    <t>C009</t>
  </si>
  <si>
    <t>The absolute percentage of total waste produced by a company/group that is sent to landfill.</t>
  </si>
  <si>
    <t>Proportion of waste recycled or re-used (%)</t>
  </si>
  <si>
    <t>climate_waste_recycled</t>
  </si>
  <si>
    <t>C010</t>
  </si>
  <si>
    <t>The absolute percentage of total waste produced by a company/group that is reported as re-used or recycled.</t>
  </si>
  <si>
    <t>Proportion of materials sourced from responsible or sustainable sources (%)</t>
  </si>
  <si>
    <t>climate_responsible</t>
  </si>
  <si>
    <t>C011</t>
  </si>
  <si>
    <t>The percentage of material utilised by a company/group that are reported as responsibly or sustainably.</t>
  </si>
  <si>
    <t>CDP climate rating</t>
  </si>
  <si>
    <t>climate_cdp_climate</t>
  </si>
  <si>
    <t>C012</t>
  </si>
  <si>
    <t>The rating given to a company/group by the Carbon Disclosure Project for 'Climate'.</t>
  </si>
  <si>
    <t>Grade of A to U</t>
  </si>
  <si>
    <t>CDP timber/forestry rating</t>
  </si>
  <si>
    <t>climate_cdp_forestry</t>
  </si>
  <si>
    <t>C013</t>
  </si>
  <si>
    <t>The rating given to a company/group by the Carbon Disclosure Project for 'Timber/Forestry'.</t>
  </si>
  <si>
    <t>CDP water security rating</t>
  </si>
  <si>
    <t>climate_cdp_water</t>
  </si>
  <si>
    <t>C014</t>
  </si>
  <si>
    <t>The rating given to a company/group by the Carbon Disclosure Project for 'Water Security'.</t>
  </si>
  <si>
    <t>Disaster relief donations as a proportion of revenue (%)</t>
  </si>
  <si>
    <t>climate_disaster_revenue</t>
  </si>
  <si>
    <t>C015</t>
  </si>
  <si>
    <t>The total amount of donations made as 'disaster relief' as a proportion of total revenue reported by the company/group in the most recently reported year.</t>
  </si>
  <si>
    <t>Proportion of water recycled (%)</t>
  </si>
  <si>
    <t>climate_water_recycled_pct</t>
  </si>
  <si>
    <t>C016</t>
  </si>
  <si>
    <t>The total percentage of water used by the company/group that is recycled.</t>
  </si>
  <si>
    <t>Emissions intensity (per unit of production)</t>
  </si>
  <si>
    <t>climate_intensity</t>
  </si>
  <si>
    <t>C017</t>
  </si>
  <si>
    <t>The emissions intensity of a company/group defined in terms of its unit of production.</t>
  </si>
  <si>
    <t>Various</t>
  </si>
  <si>
    <t>Total waste</t>
  </si>
  <si>
    <t>climate_waste</t>
  </si>
  <si>
    <t>C018</t>
  </si>
  <si>
    <t>The total waste produced by a company.</t>
  </si>
  <si>
    <t>Tonnes</t>
  </si>
  <si>
    <t>Scope 3 greenhouse gas emissions (tonnes CO2e)</t>
  </si>
  <si>
    <t>climate_scope3</t>
  </si>
  <si>
    <t>C019</t>
  </si>
  <si>
    <t>The amount of scope 3 emissions reported by a company/group in its most recent annual report.</t>
  </si>
  <si>
    <t>Disaster relief donations (£)</t>
  </si>
  <si>
    <t>climate_disaster</t>
  </si>
  <si>
    <t>C020</t>
  </si>
  <si>
    <t>The total amount of donations made as 'disaster relief' by the company/group in the most recently reported year.</t>
  </si>
  <si>
    <t>Water recycled (cubic metres)</t>
  </si>
  <si>
    <t>climate_water_recycled</t>
  </si>
  <si>
    <t>C021</t>
  </si>
  <si>
    <t>The total amount of water re-used or recycled by a company in the most recent year reported.</t>
  </si>
  <si>
    <t>Cubic metres</t>
  </si>
  <si>
    <t>Partnership</t>
  </si>
  <si>
    <t>CEO approval rating on Glassdoor</t>
  </si>
  <si>
    <t>partnership_glassdoor_ceo</t>
  </si>
  <si>
    <t>P001</t>
  </si>
  <si>
    <t>The proportion of a company's Glassdoor reviewers that approve of its CEO.</t>
  </si>
  <si>
    <t>Glassdoor https://www.glassdoor.co.uk/index.htm</t>
  </si>
  <si>
    <t>Proportion of a Glassdoor reviews that would recommend working for company (%)</t>
  </si>
  <si>
    <t>partnership_glassdoor_recommendation</t>
  </si>
  <si>
    <t>P002</t>
  </si>
  <si>
    <t>The proportion of a company's Glassdoor reviewers that would recommend working for the company to a friend.</t>
  </si>
  <si>
    <t>Average rating of Glassdoor reviews</t>
  </si>
  <si>
    <t>partnership_glassdoor_rating</t>
  </si>
  <si>
    <t>P003</t>
  </si>
  <si>
    <t>The average rating given to the company/group by users on Glassdoor.</t>
  </si>
  <si>
    <t>Rating out of 5</t>
  </si>
  <si>
    <t>Has long-term charity partnerships</t>
  </si>
  <si>
    <t>partnership_partnerships</t>
  </si>
  <si>
    <t>P004</t>
  </si>
  <si>
    <t>A binary indicator showing whether or not a company/group has reported any long term charity partnerships.</t>
  </si>
  <si>
    <t>Hours dedicated to charity per employee</t>
  </si>
  <si>
    <t>partnership_hours_employees</t>
  </si>
  <si>
    <t>P005</t>
  </si>
  <si>
    <t>The number of hours a company's employees have spent volunteering for charitable and community organisations as a proportion of the total number of employees.</t>
  </si>
  <si>
    <t>Community, charity and social contributions per employee (£)</t>
  </si>
  <si>
    <t>partnership_contribs_employees</t>
  </si>
  <si>
    <t>P006</t>
  </si>
  <si>
    <t>The total amount or value of charitable donations and volunteering by a company/group as a proportion of the total number of employees.</t>
  </si>
  <si>
    <t>Community, charity and social contributions as proportion of total revenue (%)</t>
  </si>
  <si>
    <t>partnership_contribs_revenue</t>
  </si>
  <si>
    <t>P007</t>
  </si>
  <si>
    <t>The total amount or value of charitable donations and volunteering by a company/group as a proportion of total revenue reported by the company/group in the most recently reported year.</t>
  </si>
  <si>
    <t>Number of Glassdoor reviews</t>
  </si>
  <si>
    <t>partnership_glassdoor_reviews</t>
  </si>
  <si>
    <t>P008</t>
  </si>
  <si>
    <t>The total number of reviews of a company/group on its Glassdoor profile.</t>
  </si>
  <si>
    <t>Number of Glassdoor reviews per employee</t>
  </si>
  <si>
    <t>partnership_glassdoor_reviews_employees</t>
  </si>
  <si>
    <t>P009</t>
  </si>
  <si>
    <t>The total number of reviews of a company/group on its Glassdoor profile as a proportion of its total number of employees.</t>
  </si>
  <si>
    <t>Per Employee</t>
  </si>
  <si>
    <t>Hours dedicated to charity</t>
  </si>
  <si>
    <t>partnership_hours</t>
  </si>
  <si>
    <t>P010</t>
  </si>
  <si>
    <t>The number of hours a company's employees have spent volunteering for charitable and community organisations.</t>
  </si>
  <si>
    <t>Community, charity and social contributions reach</t>
  </si>
  <si>
    <t>partnership_contribs_reach</t>
  </si>
  <si>
    <t>P011</t>
  </si>
  <si>
    <t>Community, charity and social contributions (£)</t>
  </si>
  <si>
    <t>partnership_contribs</t>
  </si>
  <si>
    <t>P012</t>
  </si>
  <si>
    <t>The total amount or value of charitable donations and volunteering by a company/group.</t>
  </si>
  <si>
    <t>Justice</t>
  </si>
  <si>
    <t>Number of fines relating to Planet</t>
  </si>
  <si>
    <t>justice_fines_planet_count</t>
  </si>
  <si>
    <t>J001</t>
  </si>
  <si>
    <t>The total number of fines, settlements and other financial penalties related to environmental factors issued to the company/group by UK and US regulators since 2016.</t>
  </si>
  <si>
    <t>The regulatory bodies included are as follows, with the USA bodies having been compiled by Good Jobs First's Violations Tracker (https://www.goodjobsfirst.org/violation-tracker): ICO (UK), FMCSA (USA), USAO (USA), EPA (USA), OFCCP (USA), FRA (USA), OSHA (USA), CFTC (USA), DOJ (USA), ACPD (USA), MSHA (USA), EA (UK), BSEE (USA), OFGEM (UK), OFCOM (UK), Gambling Commission (UK), HSE (UK), OFAC (USA), FED (USA), SFO (UK), FCA (UK), FAA (USA)</t>
  </si>
  <si>
    <t>Number of fines relating to People</t>
  </si>
  <si>
    <t>justice_fines_people_count</t>
  </si>
  <si>
    <t>J002</t>
  </si>
  <si>
    <t>The total value of fines, settlements and other financial penalties related to social factors issued to the company/group by UK and US regulators since 2016.</t>
  </si>
  <si>
    <t>Number of human rights accusations not responded to</t>
  </si>
  <si>
    <t>justice_accusations_response</t>
  </si>
  <si>
    <t>J003</t>
  </si>
  <si>
    <t>The absolute number of human rights accusations, compiled by the Business and Human Rights Resource Centre, that have not been replied to by the company.</t>
  </si>
  <si>
    <t>BHRRC https://www.business-humanrights.org/</t>
  </si>
  <si>
    <t>Response rate to human rights accusations</t>
  </si>
  <si>
    <t>justice_accusations_rate</t>
  </si>
  <si>
    <t>J004</t>
  </si>
  <si>
    <t>The number of human rights accusations compiled by the Business and Human Rights Resource Centre that a company has responded to as a proportion of the total number of accusations compiled by the Centre.</t>
  </si>
  <si>
    <t>BHRRC Modern Slavery Report ranking</t>
  </si>
  <si>
    <t>justice_slavery</t>
  </si>
  <si>
    <t>J005</t>
  </si>
  <si>
    <t>A ranking by the Business and Human Rights Resource Centres of the FTSE100 companies on their compliance with the Modern Slavery Act.</t>
  </si>
  <si>
    <t>Rank</t>
  </si>
  <si>
    <t>Value of People fines (£)</t>
  </si>
  <si>
    <t>justice_fines_people_value</t>
  </si>
  <si>
    <t>J006</t>
  </si>
  <si>
    <t>Value of People fines as a proportion of revenue (%)</t>
  </si>
  <si>
    <t>justice_fines_people_value_revenue</t>
  </si>
  <si>
    <t>J007</t>
  </si>
  <si>
    <t>The total value of fines, settlements and other financial penalties related to social factors issued to the company/group by UK and US regulators since 2016 as a proportion of total revenue reported by the company/group in the most recently reported year.</t>
  </si>
  <si>
    <t>Value of Planet fines (£)</t>
  </si>
  <si>
    <t>justice_fines_planet_value</t>
  </si>
  <si>
    <t>J008</t>
  </si>
  <si>
    <t>The total value of fines, settlements and other financial penalties related to environmental factors issued to the company/group by UK and US regulators since 2016.</t>
  </si>
  <si>
    <t>Value of Planet fines as a proportion of revenue (%)</t>
  </si>
  <si>
    <t>justice_fines_planet_value_revenue</t>
  </si>
  <si>
    <t>J009</t>
  </si>
  <si>
    <t>The total value of fines, settlements and other financial penalties related to environmental factors issued to the company/group by UK and US regulators since 2016 as a proportion of total revenue reported by the company/group in the most recently reported year.</t>
  </si>
  <si>
    <t>Number of upheld employment tribunal cases</t>
  </si>
  <si>
    <t>justice_et_upheld</t>
  </si>
  <si>
    <t>J010</t>
  </si>
  <si>
    <t>The total number of UK Employment Tribunal cases since 2017 involving the company which saw the Tribunal uphold at least one of the claims of the employee/former employee.</t>
  </si>
  <si>
    <t>UK Employment Tribunal</t>
  </si>
  <si>
    <t>Number of upheld employment tribunal cases per employee</t>
  </si>
  <si>
    <t>justice_et_upheld_employees</t>
  </si>
  <si>
    <t>J011</t>
  </si>
  <si>
    <t>The total number of UK Employment Tribunal cases since 2017 involving the company which saw the Tribunal uphold at least one of the claims of the employee/former employee as a proportion of total number of employees.</t>
  </si>
  <si>
    <t>Number of withdrawn employment tribunal cases</t>
  </si>
  <si>
    <t>justice_et_withdrawn</t>
  </si>
  <si>
    <t>J012</t>
  </si>
  <si>
    <t>The total number of UK Employment Tribunal cases since 2017 involving the company which saw the claimant withdraw their claims.</t>
  </si>
  <si>
    <t>Number of withdrawn employment tribunal cases per employee</t>
  </si>
  <si>
    <t>justice_et_withdrawn_employees</t>
  </si>
  <si>
    <t>J013</t>
  </si>
  <si>
    <t>The total number of UK Employment Tribunal cases since 2017 involving the company which saw the claimant withdraw their claims as a proportion of total number of employees.</t>
  </si>
  <si>
    <t>Misc</t>
  </si>
  <si>
    <t>Number of employees</t>
  </si>
  <si>
    <t>misc_employees</t>
  </si>
  <si>
    <t>M001</t>
  </si>
  <si>
    <t>The total number of people employed by a company/group in the most recently reported year. If reported, we have used FTE or average number of employees.</t>
  </si>
  <si>
    <t>Number of employees in previous year</t>
  </si>
  <si>
    <t>misc_employees_previous</t>
  </si>
  <si>
    <t>M002</t>
  </si>
  <si>
    <t>The total number of people employed by a company/group in the previously reported year. If reported, we have used FTE or average number of employees.</t>
  </si>
  <si>
    <t>Market capitalisation</t>
  </si>
  <si>
    <t>misc_cap</t>
  </si>
  <si>
    <t>M003</t>
  </si>
  <si>
    <t>London Stock Exchange</t>
  </si>
  <si>
    <t>Logical Order</t>
  </si>
  <si>
    <t>On website?</t>
  </si>
  <si>
    <t>Send to FTSE?</t>
  </si>
  <si>
    <t>Used for C100</t>
  </si>
  <si>
    <t>Methodology</t>
  </si>
  <si>
    <t>Scaled</t>
  </si>
  <si>
    <t>Search terms</t>
  </si>
  <si>
    <t>Data Type</t>
  </si>
  <si>
    <t>Data location</t>
  </si>
  <si>
    <t>What needs to happen in the code</t>
  </si>
  <si>
    <t>Exclude Tickers</t>
  </si>
  <si>
    <t>Imputation</t>
  </si>
  <si>
    <t>Normalisation</t>
  </si>
  <si>
    <t>Transform</t>
  </si>
  <si>
    <t>Negative Weight</t>
  </si>
  <si>
    <t>Reward/Penalty</t>
  </si>
  <si>
    <t>Scope 3 Score</t>
  </si>
  <si>
    <t>C023</t>
  </si>
  <si>
    <t>climate_scope3_score</t>
  </si>
  <si>
    <t>Score based on Scope 3 emissions reporting:
- If Scope 3 emissions are not reported, score = 0
- If Scope 3 emissions are reported and &lt; Scope 1&amp;2, score = 1
- If Scope 3 emissions are reported and &gt; Scope 1&amp;2, score = 2</t>
  </si>
  <si>
    <t>None</t>
  </si>
  <si>
    <t>This indicator captures whether a company's Scope 3 reporting is accurate. This is based upon research findings that Scope 3 emissions are typically higher than Scope 1 and 2. Our methodology is as follows:
- If Scope 3 emissions are not reported, score = 0
- If Scope 3 emissions are reported and &lt; Scope 1&amp;2, score = 1
- If Scope 3 emissions are reported and &gt; Scope 1&amp;2, score = 2</t>
  </si>
  <si>
    <t>0/1/2</t>
  </si>
  <si>
    <t>Numeric</t>
  </si>
  <si>
    <t>Bespoke</t>
  </si>
  <si>
    <t xml:space="preserve">Programmatic </t>
  </si>
  <si>
    <t xml:space="preserve">Score the Scope 3 emissions 0, 1 or 2 </t>
  </si>
  <si>
    <t>Total Scope 3 Greenhouse Gas Emissions</t>
  </si>
  <si>
    <t>PLEASE FLAG WHAT'S INCLUDED (ie. employee travel).
Please find total Scope 3 emissions reported in annual reports.</t>
  </si>
  <si>
    <t>scope 3, emissions</t>
  </si>
  <si>
    <t>The amount of Scope 3 emissions (emissions along a company's value chain that they are indirectly responsible for) in tonnes.</t>
  </si>
  <si>
    <t>Max</t>
  </si>
  <si>
    <t>Reverse Normalise</t>
  </si>
  <si>
    <t>Square Root Transform</t>
  </si>
  <si>
    <t>Total Scope 1 &amp; Scope 2 Greenhouse Gas Emissions</t>
  </si>
  <si>
    <t>The sum of Scope 1 and Scope 2 emissions. If they give one figure and don't specify whether it's Market Based or Location Based, take the figure available. If they give two figures, choose market-based. If they just provide location-based, use that.</t>
  </si>
  <si>
    <t>By revenue</t>
  </si>
  <si>
    <t>scope, scope 1, scope 2, emissions</t>
  </si>
  <si>
    <t>The amount of Scope 1 (all direct emissions that are controlled or owned by an organisation) and Scope 2 (indirect emissions associated with the purchase of electricity, steam, heat, or cooling) emissions reported by a company in its most recent annual report, as measured in tonnes of carbon dioxide equivalent (CO2e). Market-based Scope 2 emissions are taken where available as they represent the emissions a company is responsible for through its purchasing decisions, as opposed to 'location-based' which represents the average emissions intensity of grids on which energy consumption occurs.</t>
  </si>
  <si>
    <t>Total Water Consumption</t>
  </si>
  <si>
    <t>Find Total Water Consumption in the annual report. The number should be readily available, however, if it is not, please add any figure reported as either water 'consumption', 'use' or 'extraction' and mark clearly in the FLAG column. Be careful to check the units.</t>
  </si>
  <si>
    <t>water, consumption</t>
  </si>
  <si>
    <t>Total Water Consumption includes both direct (operational) and indirect (supply-chain) water footprints.</t>
  </si>
  <si>
    <t>Cubic Metres</t>
  </si>
  <si>
    <t>Total Energy Consumption</t>
  </si>
  <si>
    <t>Find value and convert to MWh (ie. using Google)</t>
  </si>
  <si>
    <t>energy</t>
  </si>
  <si>
    <t>The total energy consumed by a company per year.</t>
  </si>
  <si>
    <t>% Energy Usage from Renewable Sources</t>
  </si>
  <si>
    <t>The figure is calculated as the percentage of total energy usage that is accounted for by energy from renewable sources. Please note that it is energy, not electricity.</t>
  </si>
  <si>
    <t>renewable energy, renewable, renewables</t>
  </si>
  <si>
    <t>The percentage of total energy used by a company/group that is from a renewable source (e.g. wind, solar, etc).</t>
  </si>
  <si>
    <t>% Electricity Usage from Renewable Sources</t>
  </si>
  <si>
    <t>The figure is calculated as the percentage of total electricity usage that is accounted for by energy from renewable sources. Please note that it is electricity not energy.</t>
  </si>
  <si>
    <t>electricity, renewable sources</t>
  </si>
  <si>
    <t>The percentage of total electricity used by a company/group that is from a renewable source (e.g. wind, solar, etc).</t>
  </si>
  <si>
    <t>Total Waste Produced</t>
  </si>
  <si>
    <t>The total amount of waste produced by a company. Please note the units and convert into tonnes.</t>
  </si>
  <si>
    <t>waste</t>
  </si>
  <si>
    <t>The total amount of waste produced by a company.</t>
  </si>
  <si>
    <t>% Waste Recycled or Re-used</t>
  </si>
  <si>
    <t>The absolute percentage of total waste produced by a company/group that is reported as re-used or recycled. This can be found in the annual report.</t>
  </si>
  <si>
    <t>recycled, reuse, waste</t>
  </si>
  <si>
    <t>% Waste to Landfill</t>
  </si>
  <si>
    <t>PLEASE NOTE: DON'T INFER FROM WASTE RECYCLED - THEY ARE NOT THE SAME FIGURE. Find the absolute percentage of total waste produced by a company/group that is sent to landfill in annual reports. You may need to add up a variety of numbers. Please write all numbers in the Flag column.</t>
  </si>
  <si>
    <t>landfill, waste</t>
  </si>
  <si>
    <t>CDP Water Security Rating</t>
  </si>
  <si>
    <t>Go to the CDP website (https://www.cdp.net/en/search) and search for the company name. Go to their Water Security response and find the letter that corresponds to their water security rating (e.g. A - D-).</t>
  </si>
  <si>
    <t>CDP, CDP Water</t>
  </si>
  <si>
    <t>The Carbon Disclosure Project (CDP) runs the global disclosure system for companies to manage their environmental impacts, and invites reporting on current practices and procedures, risks and opportunities, and strategy. The CDP Water Security Rating involves reporting on current practices and procedures, risks and opportunities, and targets/strategy. It is scored A to D- based on a company's questionnaire submission.</t>
  </si>
  <si>
    <t>Grade of A to F</t>
  </si>
  <si>
    <t>Categorical</t>
  </si>
  <si>
    <r>
      <rPr/>
      <t xml:space="preserve">CDP </t>
    </r>
    <r>
      <rPr>
        <color rgb="FF1155CC"/>
        <u/>
      </rPr>
      <t>https://www.cdp.net/en/companies/companies-scores</t>
    </r>
  </si>
  <si>
    <t>Figure out if we can scrape. If not, change to Additional Indicators</t>
  </si>
  <si>
    <t>CDP Forests Rating</t>
  </si>
  <si>
    <t>Go to the CDP website (https://www.cdp.net/en/search) and search for the company name. Go to their Forests response and find the letter that corresponds to their forestry rating (e.g. A - D-).</t>
  </si>
  <si>
    <t>CDP, CDP Forests</t>
  </si>
  <si>
    <t>The Carbon Disclosure Project (CDP) runs the global disclosure system for companies to manage their environmental impacts, and invites reporting on current practices and procedures, risks and opportunities, and strategy. The CDP Timber and Forestry Rating records data on commodity consumption, origin and certifications. It is scored A to D- based on a company's questionnaire submission.</t>
  </si>
  <si>
    <r>
      <rPr/>
      <t xml:space="preserve">CDP </t>
    </r>
    <r>
      <rPr>
        <color rgb="FF1155CC"/>
        <u/>
      </rPr>
      <t>https://www.cdp.net/en/companies/companies-scores</t>
    </r>
  </si>
  <si>
    <t>Scrape</t>
  </si>
  <si>
    <t>CDP Climate Rating</t>
  </si>
  <si>
    <t>Go to the CDP website (https://www.cdp.net/en/search) and search for the company name. Go to their Climate Change response and find the letter that corresponds to their climate rating (e.g. A - D-).</t>
  </si>
  <si>
    <t>CDP, CDP Climate</t>
  </si>
  <si>
    <t>The Carbon Disclosure Project (CDP) runs the global disclosure system for companies to manage their environmental impacts, and invites reporting on current practices and procedures, risks and opportunities, and strategy. The CDP Climate Rating records data on emissions, climate risk and opportunities, etc, and is scored A to D- based on a company's questionnaire submission.</t>
  </si>
  <si>
    <r>
      <rPr/>
      <t xml:space="preserve">CDP </t>
    </r>
    <r>
      <rPr>
        <color rgb="FF1155CC"/>
        <u/>
      </rPr>
      <t>https://www.cdp.net/en/companies/companies-scores</t>
    </r>
  </si>
  <si>
    <t>% Ethnic Minority Pay Gap in UK</t>
  </si>
  <si>
    <t>UK Data ONLY (PLEASE ADD GLOBAL FIGURE TO FLAG COLUMN).
The percentage (%) pay gap for people who are BAME (Black Asian and Minority Ethnic Group).</t>
  </si>
  <si>
    <t>ethnic minority, BAME</t>
  </si>
  <si>
    <t>The absolute percentage difference in pay between Black, Asian or Minority Ethnic (BAME) and non-BAME identifying employees at the company/group.</t>
  </si>
  <si>
    <t>Score data on pay gaps as a binary in the code</t>
  </si>
  <si>
    <t>Absolute Transform</t>
  </si>
  <si>
    <t>% Median Gender Pay Gap in UK</t>
  </si>
  <si>
    <t>gender pay gap, median gender pay</t>
  </si>
  <si>
    <t>The absolute percentage difference between the median pay of a company's male and female employees across the company, as reported to the UK government.</t>
  </si>
  <si>
    <t>GOV.uk</t>
  </si>
  <si>
    <t>Figure out if we can scrape (look at description and methodology for guidance on how subsidiaries work). If not, change to Annual Report, and add 1 in AR column</t>
  </si>
  <si>
    <t>% Median Gender Bonus Gap in UK</t>
  </si>
  <si>
    <t>The median percentage difference in bonuses between a company's male and female employees in the UK. A positive gender bonus gap indicates that men are paid more than women. A negative bonus pay gap indicates that women are paid more than men.
This information can be found in their UK Government Gender Pay Gap reports (https://gender-pay-gap.service.gov.uk/), Annual Reports, Sustainability reports, or on their website. 
This indicator is for UK employees only.
A negative gender bonus gap is scored equally to no pay gap.</t>
  </si>
  <si>
    <t>% Senior Management who are Female</t>
  </si>
  <si>
    <t>PLEASE NOTE - SENIOR MANAGEMENT DOES NOT INCLUDE BOARD OF DIRECTORS. Only collect if company provides this number (they should, and it would be in their annual report/gender pay report). If they do not use the term "senior management" exactly, add note about what kind of (senior) manager we've got. It might be called directors/leaders.</t>
  </si>
  <si>
    <t>senior management</t>
  </si>
  <si>
    <t>The percentage of senior management at the company/group that are female.</t>
  </si>
  <si>
    <t>% Employees who are Female</t>
  </si>
  <si>
    <t>The percentage (%) of the total workforce at the company who are female. Please note that this should be FTE if available. It will usually be reported in annual report or gender pay reports.</t>
  </si>
  <si>
    <t>women, female, employees</t>
  </si>
  <si>
    <t>% UK Senior Management from an Ethnic Minority Background</t>
  </si>
  <si>
    <t>UK Data ONLY (PLEASE ADD GLOBAL FIGURE TO FLAG COLUMN). PLEASE NOTE - SENIOR MANAGEMENT DOES NOT INCLUDE BOARD OF DIRECTORS
Senior management is not board of directors; only collect if company provides; if not "senior management" exactly, add note about what kind of (senior) manager we've got.</t>
  </si>
  <si>
    <t>The percentage of senior management at the company who identify as Black, Asian or Minority Ethnic (BAME).</t>
  </si>
  <si>
    <t>% UK Employees from an Ethnic Minority Background</t>
  </si>
  <si>
    <t>UK Data ONLY (PLEASE ADD GLOBAL FIGURE TO FLAG COLUMN).
The percentage (%) of the total workforce at the company who are BAME (Black Asian and Minority Ethnic Group).</t>
  </si>
  <si>
    <t>The percentage of total employees at the company/group who identify as Black, Asian or Minority Ethnic (BAME).</t>
  </si>
  <si>
    <t>% UK Employees who are LGBTQ+</t>
  </si>
  <si>
    <t>Find value in annual report. It may also be in a diversity / gender report too. If missing, write 'MISSING'.</t>
  </si>
  <si>
    <t>LGBTQIA+, LGBT, LGBTQ, sexual orientation</t>
  </si>
  <si>
    <t>The percentage of total employees at the company/group who identify as Lesbian, Gay, Bisexual, Transgender, Queer or other non-binary groups (LGBTQ+).</t>
  </si>
  <si>
    <t>% UK Senior Management who are LGBTQ+</t>
  </si>
  <si>
    <t xml:space="preserve">UK Data ONLY (PLEASE ADD GLOBAL FIGURE TO FLAG COLUMN). PLEASE NOTE - SENIOR MANAGEMENT DOES NOT INCLUDE BOARD OF DIRECTORS
Senior management is not board of directors; only collect if company provides; if not "senior management" exactly, add note about what kind of (senior) manager we've got. </t>
  </si>
  <si>
    <t>The percentage of senior management at the company/group who identify as LGBTQ+.</t>
  </si>
  <si>
    <t>% UK Employees who are Disclosed as Disabled</t>
  </si>
  <si>
    <t>Find value in annual report. It may also be in a diversity report too. If missing, write 'MISSING'.</t>
  </si>
  <si>
    <t>disabled, disability, disabilities</t>
  </si>
  <si>
    <t>The percentage of total employees at the company/group with disclosed disabilities.</t>
  </si>
  <si>
    <t>% UK Senior Management who are Disclosed as Disabled</t>
  </si>
  <si>
    <t>The percentage of senior management at the company/group who are disclosed as disabled.</t>
  </si>
  <si>
    <t>% Directors who are Female</t>
  </si>
  <si>
    <t>The proportion of a company’s board of directors that is female, not including secretaries. As there has been a historic trend of male dominated boards and the relative few numbers of people on a board we have made the decision that the larger proportion the better. This indicator includes non-executive directors. This information should be in the annual report and on the website.</t>
  </si>
  <si>
    <t>directors, board of directors</t>
  </si>
  <si>
    <t>The proportion of a company’s board of directors that is female (excluding secretaries). As there has been a historic trend of male-dominated boards, we have made the decision that the larger proportion of females on the board, the better.</t>
  </si>
  <si>
    <t>% New Directors (appointed in past three years) who are Female</t>
  </si>
  <si>
    <t>Any new Directors are counted if they were appointed in the period up to three years before the Data of the most recent update of the Responsibility 100 Index, where the Data of appointment is taken to be the Data that their appointment was announced on Companies House.</t>
  </si>
  <si>
    <t>directors, board of directors, female</t>
  </si>
  <si>
    <t>The proportion of recent hires (over the past three years) of directors to a company’s board who are female. Given that very few of the FTSE 100 boards were evenly proportioned, and that the highest hiring proportion is 75% we have decided that higher a hiring proportion of females is better.</t>
  </si>
  <si>
    <t>Length of Primary Parental Leave</t>
  </si>
  <si>
    <t>The total amount of paid primary parental leave (sometimes known as maternity leave). The figure we collect represents the amount of paid leave, supplementary to statutory parental leave. I.e. if a company offers 26 weeks fully paid leave, plus 18 weeks statutory pay, we collect the 26 week figure. If a company offers 8 weeks at 90% pay, we collect 8x0.9 = 7.2 weeks.</t>
  </si>
  <si>
    <t>parental leave</t>
  </si>
  <si>
    <t>The total length of fully paid maternity leave provided by the company/group, according to their maternity/paternity policy where one exists.</t>
  </si>
  <si>
    <t>Length of Secondary Parental Leave</t>
  </si>
  <si>
    <t>The total amount of paid secondary parental leave (sometimes known as paternity leave). The figure we collect represents the amount of paid leave, supplementary to statutory parental leave.</t>
  </si>
  <si>
    <t>parental leader</t>
  </si>
  <si>
    <t>The total length of fully paid parental leave provided by the company/group to 'secondary' parental figures', according to their maternity/paternity policy where one exists.</t>
  </si>
  <si>
    <t>Level of WISE Membership</t>
  </si>
  <si>
    <t>This indicator discloses the level of a company's membership in the WISE campaign (Women in Science and Engineering). 1 indicates the company is an Online Member;
2 indicates Core Member;
3 indicates Premium Member; 4 indicates Strategic Partner.
This can be found in annual reports or on the company's website.</t>
  </si>
  <si>
    <t>WISE membership, women in stem</t>
  </si>
  <si>
    <t>This indicator discloses the level of a company's membership in the WISE campaign (Women in Science and Engineering). 1 indicates the company is an Online Member;
2 indicates Core Member;
3 indicates Premium Member; 4 indicates Strategic Partner.</t>
  </si>
  <si>
    <t>% Annual Graduate / Apprentice Intake who are Female</t>
  </si>
  <si>
    <t>The percentage (%) of newly hired graduates at the company who are female. This can be found in annual report or in gender pay reports.</t>
  </si>
  <si>
    <t>graduates, grads, apprentices, early careers, young people, early career opportunities</t>
  </si>
  <si>
    <t>Revenue</t>
  </si>
  <si>
    <r>
      <rPr/>
      <t xml:space="preserve">This number can be found in the annual report, in the financial section. If it is not in GBP, take the average currecy conversion over the reporting period, or Jan-Jan if no reporting period using this tool </t>
    </r>
    <r>
      <rPr>
        <color rgb="FF1155CC"/>
        <u/>
      </rPr>
      <t>https://docs.google.com/spreadsheets/d/1pFxv18Kp2d0EmS6BA4wrlqL_gsbwE8W0h-FLYPWFFog/edit#gid=0</t>
    </r>
    <r>
      <rPr/>
      <t xml:space="preserve"> </t>
    </r>
  </si>
  <si>
    <t>revenue</t>
  </si>
  <si>
    <t xml:space="preserve">The revenue of the company. </t>
  </si>
  <si>
    <t>Revenue 1 Year Prior</t>
  </si>
  <si>
    <t>G033</t>
  </si>
  <si>
    <t>collection_revenue_1_prior</t>
  </si>
  <si>
    <r>
      <rPr/>
      <t xml:space="preserve">Revenue, turnover, net sales - these are all valid. They can be found in an annual report (found on companies House or on their website).
If it is not in GBP, take the average currecy conversion over the reporting period, or Jan-Jan if no reporting period using this tool </t>
    </r>
    <r>
      <rPr>
        <color rgb="FF1155CC"/>
        <u/>
      </rPr>
      <t>https://docs.google.com/spreadsheets/d/1pFxv18Kp2d0EmS6BA4wrlqL_gsbwE8W0h-FLYPWFFog/edit#gid=0</t>
    </r>
    <r>
      <rPr/>
      <t xml:space="preserve"> </t>
    </r>
  </si>
  <si>
    <t>Dummy indicator to calculate revenue growth</t>
  </si>
  <si>
    <t>Pull in data from correct year</t>
  </si>
  <si>
    <t>Revenue 2 Years Prior</t>
  </si>
  <si>
    <t>G034</t>
  </si>
  <si>
    <t>collection_revenue_2_prior</t>
  </si>
  <si>
    <t>Revenue, turnover, net sales - these are all valid. They can be found in an annual report (found on companies House or on their website).
For currency conversions, use this website: https://www.ofx.com/en-gb/forex-news/historical-exchange-rates/
and take the average from the last 3 years (31 Dec 2020 -- 31 Dec 2022)
0.867502 EUR: 1 GBP 0.772778 USD: 1 GBP 0.82542 CHF: 1 GBP</t>
  </si>
  <si>
    <t>Revenue 3 Years Prior</t>
  </si>
  <si>
    <t>G035</t>
  </si>
  <si>
    <t>collection_revenue_3_prior</t>
  </si>
  <si>
    <t xml:space="preserve">Revenue, turnover, net sales - these are all valid. They can be found in an annual report (found on companies House or on their website).
If it is not in GBP, take the average currecy conversion over the reporting period, or Jan-Jan if no reporting period using this tool https://docs.google.com/spreadsheets/d/1pFxv18Kp2d0EmS6BA4wrlqL_gsbwE8W0h-FLYPWFFog/edit#gid=0 </t>
  </si>
  <si>
    <t>Operating Profit</t>
  </si>
  <si>
    <t>G036</t>
  </si>
  <si>
    <t>collection_profit</t>
  </si>
  <si>
    <t xml:space="preserve">In annual report, look for profit. Prefer operating profit. If operating profit is not present, take profit (loss) before taxation. If it is not in GBP, take the average currecy conversion over the reporting period, or Jan-Jan if no reporting period using this tool https://docs.google.com/spreadsheets/d/1pFxv18Kp2d0EmS6BA4wrlqL_gsbwE8W0h-FLYPWFFog/edit#gid=0 </t>
  </si>
  <si>
    <t>profit</t>
  </si>
  <si>
    <t>Dummy indicator to calculate operating profit margin</t>
  </si>
  <si>
    <t>Create indicator</t>
  </si>
  <si>
    <t>% Operating Profit Margin</t>
  </si>
  <si>
    <t>G037</t>
  </si>
  <si>
    <t>gb_profit_revenue</t>
  </si>
  <si>
    <t>Programmatic - operating profit / revenue</t>
  </si>
  <si>
    <t>profit margin</t>
  </si>
  <si>
    <t>Operating profit is the total income a company generates from sales after paying off all operating expenses, such as rent, employee payroll, equipment and inventory costs. The operating profit figure excludes gains or losses from interest, taxes and investments. Operating Profit Margin = Operating Profit / Total Revenue</t>
  </si>
  <si>
    <t xml:space="preserve">Check that this is profit / revenue - can just do by scaling by revenue? </t>
  </si>
  <si>
    <t>% Average Revenue Growth Over 3 Years</t>
  </si>
  <si>
    <t>This number can be found in the annual report, in the financial section. Write the number for last year in the flag column and do the calculation.</t>
  </si>
  <si>
    <t>revenue, revenue growth</t>
  </si>
  <si>
    <t xml:space="preserve">The total amount of revenue growth, as a percentage, at a company/group in the most recently reported year. </t>
  </si>
  <si>
    <t>Normalise Around Zero</t>
  </si>
  <si>
    <t xml:space="preserve">Total Tax Payable </t>
  </si>
  <si>
    <t xml:space="preserve">This number can be found in the annual report, in the financial section. If it is not in GBP, take the average currecy conversion over the reporting period, or Jan-Jan if no reporting period using this tool https://docs.google.com/spreadsheets/d/1pFxv18Kp2d0EmS6BA4wrlqL_gsbwE8W0h-FLYPWFFog/edit#gid=0 </t>
  </si>
  <si>
    <t>tax</t>
  </si>
  <si>
    <t xml:space="preserve">The total tax expense in £ of a company/group in the most recently reported year. 
This will most likely be disclosed alongside CEO pay in 'Remuneration' section of Annual Report. Use this converter to do a currency conversion over the dates of the AR (ideally using moneths, but do Jan-Jan if none available) https://docs.google.com/spreadsheets/d/1pFxv18Kp2d0EmS6BA4wrlqL_gsbwE8W0h-FLYPWFFog/edit#gid=0 </t>
  </si>
  <si>
    <t>% Effective Tax Rate</t>
  </si>
  <si>
    <t>This is the effective tax rate for the company or group as reported for a given year. Only include this value if it is specifically defined as the 'effective tax rate'. It is often in a range between 15-27%. If it is blank, write MISSING.</t>
  </si>
  <si>
    <t>effective tax rate, tax rate, adjusted tax</t>
  </si>
  <si>
    <t>19(tax)</t>
  </si>
  <si>
    <t>Company is a Fair Tax Mark Accredited Organisation</t>
  </si>
  <si>
    <r>
      <rPr/>
      <t xml:space="preserve">Visit the Fair Tax Mark Accredited website here: </t>
    </r>
    <r>
      <rPr>
        <color rgb="FF1155CC"/>
        <u/>
      </rPr>
      <t>https://fairtaxmark.net/accredited-organisations/</t>
    </r>
    <r>
      <rPr/>
      <t xml:space="preserve"> and state 1 if the company is an accredited organisation, and 0 if they are not.</t>
    </r>
  </si>
  <si>
    <t>fair tax mark</t>
  </si>
  <si>
    <t>A binary variable indicating whether a company has Fair Tax Mark accreditation. The Fair Tax Mark accreditation scheme seeks to encourage and recognise businesses that pay the right amount of corporation tax at the right time and in the right place.</t>
  </si>
  <si>
    <t>Binary</t>
  </si>
  <si>
    <t>Additional Indicators</t>
  </si>
  <si>
    <t>Tax Payable as a Proportion of Total Profit</t>
  </si>
  <si>
    <t>Programmatic - tax / profit</t>
  </si>
  <si>
    <t>tax, profit, tax margin</t>
  </si>
  <si>
    <t>The total income tax expense in £ paid by a company/group as a percentage of reported profit before tax.</t>
  </si>
  <si>
    <t>Tax Payable as a Proportion of Total Revenue</t>
  </si>
  <si>
    <t>Programmatic - tax / revenue</t>
  </si>
  <si>
    <t>tax, revenue, tax margin</t>
  </si>
  <si>
    <t>The total income tax expense in £ paid by a company/group as a proportion of total revenue reported by the company/group in the most recently reported year.</t>
  </si>
  <si>
    <t>Research &amp; Development Investment</t>
  </si>
  <si>
    <t xml:space="preserve">This number can be found in the annual report, in the financial section. Use this converter to do a currency conversion over the dates of the AR (ideally using moneths, but do Jan-Jan if none available) https://docs.google.com/spreadsheets/d/1pFxv18Kp2d0EmS6BA4wrlqL_gsbwE8W0h-FLYPWFFog/edit#gid=0  </t>
  </si>
  <si>
    <t>research and development, r&amp;d</t>
  </si>
  <si>
    <t xml:space="preserve">The total reported expenditure on research and development by a company/group as a proportion of total revenue reported by the company/group in the most recently reported year. </t>
  </si>
  <si>
    <t>Total Value of CEO Remuneration</t>
  </si>
  <si>
    <t xml:space="preserve">The total remuneration received by the CEO in £ in a company's latest annual report. If it is not in GBP, take the average currecy conversion over the reporting period, or Jan-Jan if no reporting period using this tool https://docs.google.com/spreadsheets/d/1pFxv18Kp2d0EmS6BA4wrlqL_gsbwE8W0h-FLYPWFFog/edit#gid=0 </t>
  </si>
  <si>
    <t>CEO, ratio, remuneration</t>
  </si>
  <si>
    <t xml:space="preserve">The total remuneration received by the CEO in £ in a company's latest annual report. </t>
  </si>
  <si>
    <t>CEO Pay Ratio to Median Worker Pay</t>
  </si>
  <si>
    <t>G029</t>
  </si>
  <si>
    <t>gb_pay_ratio</t>
  </si>
  <si>
    <t>Find CEO pay ratio in 'Remuneration' section of Annual Report.
Choose Median pay ratio (P50) for employees. Collect X if reported as X:1. FLAG INCONSISTENT REPORTING.</t>
  </si>
  <si>
    <t>median worker pay, median worker ratio</t>
  </si>
  <si>
    <t>The ratio of total remuneration of the CEO to the remuneration of the median UK employee.</t>
  </si>
  <si>
    <t>Ratio</t>
  </si>
  <si>
    <t>% CEO Annual Bonus Linked to ESG Metrics</t>
  </si>
  <si>
    <t>G030</t>
  </si>
  <si>
    <t>gb_annual_bonus_esg</t>
  </si>
  <si>
    <t>Find Annual Bonus or Annual Incentive Plan in 'Remuneration' section of Annual Report.
Calculate total percentage weighting of annual bonus that's linked to ESG metrics (ie. emissions, renewables, diversity) - if it could be an R100 indicator, count it</t>
  </si>
  <si>
    <t>annual bonus, annual incentive, remuneration</t>
  </si>
  <si>
    <t>The total percentage of CEO Annual Bonus that is linked to ESG metrics</t>
  </si>
  <si>
    <t>% CEO Long Term Incentive Plan Linked to ESG Metrics</t>
  </si>
  <si>
    <t>G031</t>
  </si>
  <si>
    <t>gb_ltip_esg</t>
  </si>
  <si>
    <t>Find Long Term Incentive Plan (LTIP) or Performance Share Plan (PSP) in the 'Remuneration' section of Annual Report.
Calculate total percentage weighting of LTIP that's linked to ESG metrics (ie. emissions, renewables, diversity) - if it could be an R100 indicator, count it</t>
  </si>
  <si>
    <t>ltip, long term incentive plan, remuneration</t>
  </si>
  <si>
    <t>The total percentage of a CEO's long term incentive plan (LTIP) linked to ESG metrics</t>
  </si>
  <si>
    <t>% Revenue Not From Tax Havens</t>
  </si>
  <si>
    <t>G032</t>
  </si>
  <si>
    <t>gb_tax_haven_rev</t>
  </si>
  <si>
    <t>Look for company CbC (Country by Country) Reports. Take the percentage of revenue in countries</t>
  </si>
  <si>
    <t>revenue, tax, tax havens</t>
  </si>
  <si>
    <t>The proportion of revenue not from low-tax jurisdictions (countries with a Tax Justice Network Tax Haven score over 75), as published in Country-by-Country tax reports. Public disclosure of these CbC reports will become mandatory in EU law in 2024.</t>
  </si>
  <si>
    <t>CbC Reporting</t>
  </si>
  <si>
    <t>Average Rating on Glassdoor</t>
  </si>
  <si>
    <r>
      <rPr/>
      <t xml:space="preserve">Go to Glassdoor </t>
    </r>
    <r>
      <rPr>
        <color rgb="FF1155CC"/>
        <u/>
      </rPr>
      <t>https://www.glassdoor.co.uk/index.htm</t>
    </r>
    <r>
      <rPr/>
      <t>, and write down the average rating (out of 5)</t>
    </r>
  </si>
  <si>
    <t>Glassdoor</t>
  </si>
  <si>
    <t>Normalise Excluding Zero</t>
  </si>
  <si>
    <t>Total Number of Glassdoor Reviews</t>
  </si>
  <si>
    <r>
      <rPr/>
      <t xml:space="preserve">Go to Glassdoor </t>
    </r>
    <r>
      <rPr>
        <color rgb="FF1155CC"/>
        <u/>
      </rPr>
      <t>https://www.glassdoor.co.uk/index.htm</t>
    </r>
    <r>
      <rPr/>
      <t>, and write down the number of reviews.</t>
    </r>
  </si>
  <si>
    <t>Total Number of Glassdoor Reviews per Employee</t>
  </si>
  <si>
    <r>
      <rPr/>
      <t xml:space="preserve">Go to Glassdoor </t>
    </r>
    <r>
      <rPr>
        <color rgb="FF1155CC"/>
        <u/>
      </rPr>
      <t>https://www.glassdoor.co.uk/index.htm</t>
    </r>
    <r>
      <rPr/>
      <t>, and write down the number of reviews. Then divide by the number of employees. Write down calculation in the flag column.</t>
    </r>
  </si>
  <si>
    <t>Ignore</t>
  </si>
  <si>
    <t>Value of Donations - £</t>
  </si>
  <si>
    <t>P013</t>
  </si>
  <si>
    <t>charity_donations_pounds</t>
  </si>
  <si>
    <t xml:space="preserve">This information can first and foremost be found in Annual Reports or in Sustainability / CSR / reports. It may also be a stat that can be found on the website more generally. Value of donations does not include money in time or in kind. If it is not in GBP, take the average currecy conversion over the reporting period, or Jan-Jan if no reporting period using this tool https://docs.google.com/spreadsheets/d/1pFxv18Kp2d0EmS6BA4wrlqL_gsbwE8W0h-FLYPWFFog/edit#gid=0 </t>
  </si>
  <si>
    <t>donations, donated, support, community, fundraised, fundraising</t>
  </si>
  <si>
    <t>Donating to charitable organisations may indicate a companies' engagement with the local area and a commitment to improving the society in which the business operates. Value of donations does not include money in time or in kind.</t>
  </si>
  <si>
    <t>Either or in the code</t>
  </si>
  <si>
    <t>Value of Donations - hours</t>
  </si>
  <si>
    <t>P014</t>
  </si>
  <si>
    <t>charity_donations_hours</t>
  </si>
  <si>
    <t>This information can first and foremost be found in Annual Reports or in Sustainability / CSR / reports. It may also be a stat that can be found on the website more generally. Value of donations does not include money in time or in kind.</t>
  </si>
  <si>
    <t>By employees</t>
  </si>
  <si>
    <t>donations, donated, support, community, fundraised, fundraising, money-equivalent</t>
  </si>
  <si>
    <t>Net Assets</t>
  </si>
  <si>
    <t>P015</t>
  </si>
  <si>
    <t>gb_net_assets</t>
  </si>
  <si>
    <t xml:space="preserve">In annual report or companies house, look for net assets or net asset position. This should match the number for total equity. If it is not in GBP, take the average currecy conversion over the reporting period, or Jan-Jan if no reporting period using this tool https://docs.google.com/spreadsheets/d/1pFxv18Kp2d0EmS6BA4wrlqL_gsbwE8W0h-FLYPWFFog/edit#gid=0 </t>
  </si>
  <si>
    <t>net assets</t>
  </si>
  <si>
    <t xml:space="preserve">In annual report or companies house, look for net assets or net asset position. This should match the number for total equity.
This will most likely be disclosed alongside CEO pay in 'Remuneration' section of Annual Report. Use this converter to do a currency conversion over the dates of the AR (ideally using moneths, but do Jan-Jan if none available) https://docs.google.com/spreadsheets/d/1pFxv18Kp2d0EmS6BA4wrlqL_gsbwE8W0h-FLYPWFFog/edit#gid=0 </t>
  </si>
  <si>
    <t>Average Salary</t>
  </si>
  <si>
    <t>P018</t>
  </si>
  <si>
    <t>median_salary_current</t>
  </si>
  <si>
    <t xml:space="preserve">The average salary (£) of employees at the company.
This will most likely be disclosed alongside CEO pay in 'Remuneration' section of Annual Report. If it is not in GBP, take the average currecy conversion over the reporting period, or Jan-Jan if no reporting period using this tool https://docs.google.com/spreadsheets/d/1pFxv18Kp2d0EmS6BA4wrlqL_gsbwE8W0h-FLYPWFFog/edit#gid=0 </t>
  </si>
  <si>
    <t>salary, median employee wage</t>
  </si>
  <si>
    <t>The average salary (£) of employees at the company.
This will most likely be disclosed alongside CEO pay in 'Remuneration' section of Annual Report.</t>
  </si>
  <si>
    <t>Number of Fines Relating to 'Planet'</t>
  </si>
  <si>
    <t>Any fines that were announced up to three years before the Data of the most recent update of the Responsibility 100 are counted as part of this total. It concerns all fines relating to the 'planet' (e.g. environment). Write down all the fines in the flag column &amp; add them up.</t>
  </si>
  <si>
    <t>fines, environmental fines</t>
  </si>
  <si>
    <t>The total number of fines, settlements and other financial penalties related to environmental factors issued to the company/group by UK and US regulators over the past three years.</t>
  </si>
  <si>
    <t>Violation Tracker US/UK</t>
  </si>
  <si>
    <t>Number of Fines Relating to 'People'</t>
  </si>
  <si>
    <t>Any fines that were announced up to three years before the Data of the most recent update of the Responsibility 100 are counted as part of this total. It concerns all fines relating to the 'people' (e.g. human rights, modern slavery, etc). Write down all the fines in the flag column &amp; add them up.</t>
  </si>
  <si>
    <t>fines</t>
  </si>
  <si>
    <t>The total value of fines, settlements and other financial penalties related to social factors issued to the company/group by UK and US regulators over the past three years.</t>
  </si>
  <si>
    <t>Value of Fines Relating to 'People'</t>
  </si>
  <si>
    <r>
      <rPr/>
      <t xml:space="preserve">Any fines that were announced up to three years before the Data of the most recent update of the Responsibility 100 are counted as part of this total. It concerns all fines relating to the 'people' (e.g. human rights, modern slavery, etc). Write down all the fines in the flag column &amp; add them up. Then calculate it as a percentage of total revenue. If it is not in GBP, take the average currecy conversion over the reporting period, or Jan-Jan if no reporting period using this tool </t>
    </r>
    <r>
      <rPr>
        <color rgb="FF1155CC"/>
        <u/>
      </rPr>
      <t>https://docs.google.com/spreadsheets/d/1pFxv18Kp2d0EmS6BA4wrlqL_gsbwE8W0h-FLYPWFFog/edit#gid=0</t>
    </r>
    <r>
      <rPr/>
      <t xml:space="preserve"> </t>
    </r>
  </si>
  <si>
    <t>The total value of fines, settlements and other financial penalties related to social factors issued to the company/group by UK and US regulators over the past three years as a proportion of total revenue reported by the company/group in the most recently reported year.</t>
  </si>
  <si>
    <t>Value of Fines Relating to 'Planet'</t>
  </si>
  <si>
    <t xml:space="preserve">Any fines that were announced up to three years before the Data of the most recent update of the Responsibility 100 are counted as part of this total. It concerns all fines relating to the 'planet' (e.g. environment). Write down all the fines in the flag column &amp; add them up. Then calculate it as a percentage of total revenue.If it is not in GBP, take the average currecy conversion over the reporting period, or Jan-Jan if no reporting period using this tool https://docs.google.com/spreadsheets/d/1pFxv18Kp2d0EmS6BA4wrlqL_gsbwE8W0h-FLYPWFFog/edit#gid=0 </t>
  </si>
  <si>
    <t>The total value of fines, settlements and other financial penalties related to environmental factors issued to the company/group by UK and US regulators over the past three years as a proportion of total revenue reported by the company/group in the most recently reported year.</t>
  </si>
  <si>
    <t>Total Number of Accusations of Human Rights Violations Not Responded To</t>
  </si>
  <si>
    <t>Human Rights accusations that were levied on the BHRRC's website (https://www.business-humanrights.org/en/) up to three years before the Data of the update are counted. Companies are responsible at which an accusation is made or tribunal is brought. When a company buys a subsidiary, they take on responsibility for accusations. When they sell it, they sell the responsibility, too. This is because companies are expected to conduct due diligence in mergers and acquisitions, and so should know of the risk of human rights accusations or tribunals. This is based on the UN Guiding Principles.</t>
  </si>
  <si>
    <t>human rights, violations, fines</t>
  </si>
  <si>
    <t>The absolute number of human rights accusations, compiled by the Business and Human Rights Resource Centre (made over the past three years), that have not been replied to by the company. If the company has received no human rights accusations, this value appears as N/A.</t>
  </si>
  <si>
    <t>Number of Whistleblowing Cases Reported</t>
  </si>
  <si>
    <t>J030</t>
  </si>
  <si>
    <t>whistleblowing_cases</t>
  </si>
  <si>
    <t>A whistleblower is a person, usually an employee, who exposes information or activity within a private or public organisation that is deemed illegal, immoral or illicit. This indicator measures the number of whistleblowing cases for each company.
Firstly, check annual reports (which can be found on companies House or on the companies website). Check their sustainability / responsible sourcing reports as well. Check also their news section on the website, and do a general Google.</t>
  </si>
  <si>
    <t>whistleblowing</t>
  </si>
  <si>
    <t>A whistleblower is a person, usually an employee, who exposes information or activity within a private or public organisation that is deemed illegal, immoral or illicit. This indicator measures the number of whistleblowing cases for each company.</t>
  </si>
  <si>
    <t>Annual Report, Modern Slavery Report</t>
  </si>
  <si>
    <t>Number of Employment Tribunal Cases Upheld</t>
  </si>
  <si>
    <r>
      <rPr/>
      <t xml:space="preserve">Employment tribunal decisions that took place up to three years before the Data of the update of the Responsibility 100 are counted. The Data of the decisions are given on the </t>
    </r>
    <r>
      <rPr>
        <color rgb="FF1155CC"/>
        <u/>
      </rPr>
      <t>gov.uk</t>
    </r>
    <r>
      <rPr/>
      <t xml:space="preserve"> website.</t>
    </r>
  </si>
  <si>
    <t>tribunal cases, workplace</t>
  </si>
  <si>
    <t>The number of UK Employment Tribunal cases over the past three years involving the company which saw the Tribunal uphold at least one of the claims of the employee/former employee.</t>
  </si>
  <si>
    <t>UK Employment Tribunal: https://www.gov.uk/employment-tribunal-decisions</t>
  </si>
  <si>
    <t>Membership of an Organisation Promoting Women in STEM</t>
  </si>
  <si>
    <t>T114</t>
  </si>
  <si>
    <t>membership_women_stem</t>
  </si>
  <si>
    <r>
      <rPr/>
      <t xml:space="preserve">Organisations included: WISE, Society of Women Engineers (SWE), </t>
    </r>
    <r>
      <rPr>
        <color rgb="FF1155CC"/>
        <u/>
      </rPr>
      <t>AnitaB.org</t>
    </r>
    <r>
      <rPr/>
      <t xml:space="preserve">, 
National Center for Women &amp; Information Technology (NCWIT), 
Women in Technology International (WITI), Association for Women in Science (AWIS)
</t>
    </r>
  </si>
  <si>
    <t>WISE, women in stem, women, inclusive</t>
  </si>
  <si>
    <t>This indicator is a binary variable indicating whether a company has signed up as an organisation to an inititative promoting women in STEM.</t>
  </si>
  <si>
    <t>Membership of an Organisation Promoting Renewable Energy Adoption</t>
  </si>
  <si>
    <t>T115</t>
  </si>
  <si>
    <t>membership_renewables</t>
  </si>
  <si>
    <t xml:space="preserve">Organisations included: The Climate Group (which includes access to initiatives such as RE100, EV100, and EP100), Renewable Energy Buyers Alliance (REBA) </t>
  </si>
  <si>
    <t>RE100,  EV100, EP100, Climate Group, renewables,</t>
  </si>
  <si>
    <t>This indicator is a binary variable indicating whether a company has signed up as an organisation to an inititative promoting renewably energy adoption.</t>
  </si>
  <si>
    <r>
      <rPr/>
      <t xml:space="preserve">RE100 </t>
    </r>
    <r>
      <rPr>
        <color rgb="FF1155CC"/>
        <u/>
      </rPr>
      <t>http://there100.org/</t>
    </r>
  </si>
  <si>
    <t>might be able to scrape</t>
  </si>
  <si>
    <t>Membership of an Organisation Promoting Social Responsibility</t>
  </si>
  <si>
    <t>T116</t>
  </si>
  <si>
    <t>membership_supply_chains</t>
  </si>
  <si>
    <t>Organisations included: Social Accountability International (SAI), Responsible Business Alliance (RBA) 
No requirements: Social Value International (SVI), Business for Social Responsibility (BSR)</t>
  </si>
  <si>
    <t>Social Accountability International, SAI, Responsible Business Alliance, RBA, 
Social Value International, SVI, supply chains, social</t>
  </si>
  <si>
    <t>This indicator is a binary variable indicating whether a company has signed up as an organisation to an organisation promoting social responsibility.</t>
  </si>
  <si>
    <t>UN Global Compact</t>
  </si>
  <si>
    <t>Membership of Reporting Initiative</t>
  </si>
  <si>
    <t>T117</t>
  </si>
  <si>
    <t>membership_reporting</t>
  </si>
  <si>
    <t xml:space="preserve">Organisations included: CDP, Global Reporting Initiative (GRI) </t>
  </si>
  <si>
    <t>CDP, GRI, reporting</t>
  </si>
  <si>
    <t>This indicator is a binary variable indicating whether a company has signed up as an organisation to a reporting initiative.</t>
  </si>
  <si>
    <t>Membership of an Organisation Promoting Sustainable Business</t>
  </si>
  <si>
    <t>T118</t>
  </si>
  <si>
    <t>membership_sustainability_org</t>
  </si>
  <si>
    <t>Organisations included: Ceres, 
No requirements: The World Business Council for Sustainable Development (WBCSD), UN Global Compact</t>
  </si>
  <si>
    <t>ICRS, organisation, Ceres, Business for Social Responsibility, BSR, The World Business Council for Sustainable Development, WBCSD, UNGC, UN Global Compact</t>
  </si>
  <si>
    <t>This indicator is a binary variable indicating whether a company has signed up as an organisation to an inititative promoting sustainable business.</t>
  </si>
  <si>
    <t>ICRS</t>
  </si>
  <si>
    <t>Company is a Signatory of the Race at Work Charter</t>
  </si>
  <si>
    <t>T020</t>
  </si>
  <si>
    <t>talk_race_work</t>
  </si>
  <si>
    <r>
      <rPr/>
      <t xml:space="preserve">Find whether the company is a signatory on this website here: </t>
    </r>
    <r>
      <rPr>
        <color rgb="FF1155CC"/>
        <u/>
      </rPr>
      <t>https://www.bitc.org.uk/race-at-work-charter-signatories/</t>
    </r>
  </si>
  <si>
    <t>race at work charter</t>
  </si>
  <si>
    <t>A binary indicator company is a signatory of the Business in the Community's Race at Work Charter. The Race at Work Charter outlines seven key actions to improve the quality of opportunity in the workplace, such as capturing ethnicity data and publicise progress made.</t>
  </si>
  <si>
    <t>Race at Work Charter</t>
  </si>
  <si>
    <t>Company is a Signatory of the Prompt Payment Code</t>
  </si>
  <si>
    <r>
      <rPr/>
      <t xml:space="preserve">Check the </t>
    </r>
    <r>
      <rPr>
        <color rgb="FF1155CC"/>
        <u/>
      </rPr>
      <t>Prompt Payment Code website</t>
    </r>
    <r>
      <rPr/>
      <t xml:space="preserve">. Companies receive 2 points if they are active signatories, 1 point if </t>
    </r>
    <r>
      <rPr>
        <color rgb="FF1155CC"/>
        <u/>
      </rPr>
      <t>temporarily suspended</t>
    </r>
    <r>
      <rPr/>
      <t>, or 0 points if they are not signatories</t>
    </r>
  </si>
  <si>
    <t>prompt payment code</t>
  </si>
  <si>
    <t>BEIS Prompt Payment Code</t>
  </si>
  <si>
    <t>Square Transform</t>
  </si>
  <si>
    <t>Total Number of Employees (FTE)</t>
  </si>
  <si>
    <t>Find total number of full-time equivalent (FTE) employees (if possible). If not, use any total / average employee count for that reporting period. Write down any notes in the flag column,</t>
  </si>
  <si>
    <t>employees</t>
  </si>
  <si>
    <t>The total number of people (Full-Time Equivalent, FTE) employed by a company/group in the most recently reported year.</t>
  </si>
  <si>
    <t>Total Number of Employees (FTE) in Previous Year</t>
  </si>
  <si>
    <t>Find total number of full-time equivalent (FTE) employees in the previous year if possible. If not, use any total / average employee count for that reporting period.</t>
  </si>
  <si>
    <t>The total number of people (Full-Time Equivalent, FTE) employed by a company/group in the previously reported year.</t>
  </si>
  <si>
    <t>Number of UK employees</t>
  </si>
  <si>
    <t>M009</t>
  </si>
  <si>
    <t>misc_employees_uk</t>
  </si>
  <si>
    <t>Find total number of full-time equivalent (FTE) employees in the UK if possible. If not, use any total / average employee count</t>
  </si>
  <si>
    <t>The total number of people (Full-Time Equivalent, FTE) employed by a company/group in the most recently reported year in the UK.</t>
  </si>
  <si>
    <t>Value of Market Capitalisation</t>
  </si>
  <si>
    <t xml:space="preserve">This number can be found in annual report or London Stock Exchange If it is not in GBP, take the average currecy conversion over the reporting period, or Jan-Jan if no reporting period using this tool https://docs.google.com/spreadsheets/d/1pFxv18Kp2d0EmS6BA4wrlqL_gsbwE8W0h-FLYPWFFog/edit#gid=0 </t>
  </si>
  <si>
    <t xml:space="preserve">The market capitalisation of a company. 
This will most likely be disclosed alongside CEO pay in 'Remuneration' section of Annual Report. Use this converter to do a currency conversion over the dates of the AR (ideally using moneths, but do Jan-Jan if none available) https://docs.google.com/spreadsheets/d/1pFxv18Kp2d0EmS6BA4wrlqL_gsbwE8W0h-FLYPWFFog/edit#gid=0 </t>
  </si>
  <si>
    <t>Try to scrape. If not, change to Annual Report, and add 1 in AR column</t>
  </si>
  <si>
    <t>Annual Report Release Date</t>
  </si>
  <si>
    <t>M006</t>
  </si>
  <si>
    <t>misc_annual_date</t>
  </si>
  <si>
    <t>Please find the year (or exact Data if available) that the report was published</t>
  </si>
  <si>
    <t>Year of publication of the annual report.</t>
  </si>
  <si>
    <t>Data</t>
  </si>
  <si>
    <t>Text</t>
  </si>
  <si>
    <t>Annual report or company website</t>
  </si>
  <si>
    <t>Annual Report URL</t>
  </si>
  <si>
    <t>M007</t>
  </si>
  <si>
    <t>misc_annual_link</t>
  </si>
  <si>
    <t>Write down the annual report URL</t>
  </si>
  <si>
    <t>The URL to the company's most recent annual report.</t>
  </si>
  <si>
    <t>URL</t>
  </si>
  <si>
    <t>Company Website</t>
  </si>
  <si>
    <t>Sustainability Report URL</t>
  </si>
  <si>
    <t>M008</t>
  </si>
  <si>
    <t>misc_sustainability_link</t>
  </si>
  <si>
    <t>Write down the sustainability report URL</t>
  </si>
  <si>
    <t>The URL to the company's most recent sustainability report.</t>
  </si>
  <si>
    <t xml:space="preserve">Total Number of Graduates Accepted </t>
  </si>
  <si>
    <t>collection_grads</t>
  </si>
  <si>
    <t>This is specifically the count of new graduates each year, ie. Graduate programme intake, rather than the total number of graduates at the company.</t>
  </si>
  <si>
    <t>graduates, graduate scheme</t>
  </si>
  <si>
    <t>The total number of graduates hired each year.</t>
  </si>
  <si>
    <t>Total Number of Apprentices Accepted</t>
  </si>
  <si>
    <t>collection_apprentices</t>
  </si>
  <si>
    <t>This is specifically the count of new apprentices each year, ie. Graduate programme intake, rather than the total number of graduates at the company.</t>
  </si>
  <si>
    <t>apprenticeships, apprentices, apprenticeship scheme</t>
  </si>
  <si>
    <t>The total number of apprentices hired each year.</t>
  </si>
  <si>
    <t>Total Number of Graduates Accepted as a Proportion of Total Employees (%)</t>
  </si>
  <si>
    <t>skills_training_grads</t>
  </si>
  <si>
    <t>Total Number of Graduates Accepted  / Employees</t>
  </si>
  <si>
    <t>%</t>
  </si>
  <si>
    <t>Scale</t>
  </si>
  <si>
    <t>Total Number of Apprentices Accepted as a Proportion of Total Employees (%)</t>
  </si>
  <si>
    <t>skills_training_apprentices</t>
  </si>
  <si>
    <t>Total Number of Apprentices Accepted  / Employees</t>
  </si>
  <si>
    <t>% Employees Receiving Training</t>
  </si>
  <si>
    <t>Only collect if company provides as a total; do not try to calculate yourself; do not include mandatory training (e.g. health and safety training).</t>
  </si>
  <si>
    <t>training, learning and development</t>
  </si>
  <si>
    <t>The number of total employees who receive non-mandatory training.</t>
  </si>
  <si>
    <t>Total Number of Employees Receiving Training</t>
  </si>
  <si>
    <t>Total Investment in Training as a Proportion of Revenue</t>
  </si>
  <si>
    <t>skills_training_spend_rev</t>
  </si>
  <si>
    <r>
      <rPr/>
      <t xml:space="preserve">Only collect if company provides as a total; do not try to calculate yourself. If it's not in £ then convert using the average exchange rate for the past three years from this converter. </t>
    </r>
    <r>
      <rPr>
        <color rgb="FF1155CC"/>
        <u/>
      </rPr>
      <t>https://docs.google.com/spreadsheets/d/1pFxv18Kp2d0EmS6BA4wrlqL_gsbwE8W0h-FLYPWFFog/edit#gid=0</t>
    </r>
    <r>
      <rPr/>
      <t xml:space="preserve"> 
</t>
    </r>
  </si>
  <si>
    <t>The total amount of investment in £ into training by a company/group as a proportion of XXX</t>
  </si>
  <si>
    <t>Total Investment in Training</t>
  </si>
  <si>
    <t xml:space="preserve">Only collect if company provides as a total; do not try to calculate yourself. If it is not in GBP, take the average currecy conversion over the reporting period, or Jan-Jan if no reporting period using this tool https://docs.google.com/spreadsheets/d/1pFxv18Kp2d0EmS6BA4wrlqL_gsbwE8W0h-FLYPWFFog/edit#gid=0 
</t>
  </si>
  <si>
    <t>Ambition Level of Science Based Target Set</t>
  </si>
  <si>
    <t>Targets</t>
  </si>
  <si>
    <t>T070</t>
  </si>
  <si>
    <t>talk_target_ambition</t>
  </si>
  <si>
    <t>This indicator measures the ambition-level of Science Based Targets. Companies score 0 if none are set, 1 if set at 2 degrees, 2 if set at well below 2 degrees or 3 if set at 1.5 degrees.</t>
  </si>
  <si>
    <t>science based target</t>
  </si>
  <si>
    <t>0/1/2/3</t>
  </si>
  <si>
    <t>Comprehensiveness Score</t>
  </si>
  <si>
    <t>T063</t>
  </si>
  <si>
    <t>talk_target_comp</t>
  </si>
  <si>
    <t>Companies are scored by summing pillar weights for each have a target for.</t>
  </si>
  <si>
    <t>transparency</t>
  </si>
  <si>
    <t>All ‘Talk’ indicators are assessed to produce a ‘Comprehensiveness Score’ which shows the coverage of all the pillars that a company has included in its targets i.e. a company that has set targets relating to each of the pillars receives the highest possible ‘Comprehensiveness Score’.</t>
  </si>
  <si>
    <t>Add methodology please!</t>
  </si>
  <si>
    <t>Number of Targets relating to Climate</t>
  </si>
  <si>
    <t>T106</t>
  </si>
  <si>
    <t>talk_target_climate_count</t>
  </si>
  <si>
    <t>This will be available in annual reports or sustainability reports. Count up the targets &amp; provide all sources.</t>
  </si>
  <si>
    <t>targets, aim, by 20, goal</t>
  </si>
  <si>
    <t>This indicator counts the number of time-bound and measurable targets relating to climate. See annex for full text of targets.</t>
  </si>
  <si>
    <t>Number of Targets relating to Equality</t>
  </si>
  <si>
    <t>T107</t>
  </si>
  <si>
    <t>talk_target_equality_count</t>
  </si>
  <si>
    <t>This indicator counts the number of time-bound and measurable targets relating to equality. See annex for full text of targets.</t>
  </si>
  <si>
    <t>Number of Targets relating to Poverty and Wellbeing</t>
  </si>
  <si>
    <t>T108</t>
  </si>
  <si>
    <t>talk_target_pov_count</t>
  </si>
  <si>
    <t>This indicator counts the number of time-bound and measurable targets relating to poverty and wellbeing. See annex for full text of targets.</t>
  </si>
  <si>
    <t>Number of Targets relating to Justice</t>
  </si>
  <si>
    <t>T109</t>
  </si>
  <si>
    <t>talk_target_justice_count</t>
  </si>
  <si>
    <t>This indicator counts the number of time-bound and measurable targets relating to justice. See annex for full text of targets.</t>
  </si>
  <si>
    <t>Number of Targets relating to Skills</t>
  </si>
  <si>
    <t>T110</t>
  </si>
  <si>
    <t>talk_target_skills_count</t>
  </si>
  <si>
    <t>This indicator counts the number of time-bound and measurable targets relating to skills. See annex for full text of targets.</t>
  </si>
  <si>
    <t>Number of Targets relating to Good Business</t>
  </si>
  <si>
    <t>T111</t>
  </si>
  <si>
    <t>talk_target_bus_count</t>
  </si>
  <si>
    <t>This indicator counts the number of time-bound and measurable targets relating to good business. See annex for full text of targets.</t>
  </si>
  <si>
    <t>Net Zero Target Ambition</t>
  </si>
  <si>
    <t>T113</t>
  </si>
  <si>
    <t>talk_target_netzero_date</t>
  </si>
  <si>
    <t>Date by which the company has set a time-bound target to achieve Net Zero across their operations. This must be across all operations at the minimum.</t>
  </si>
  <si>
    <t>net zero</t>
  </si>
  <si>
    <t>Data by which company aims to achieve Net Zero (Year).</t>
  </si>
  <si>
    <t>Year</t>
  </si>
  <si>
    <t>Company is a Living Wage Provider Accredited Organisation</t>
  </si>
  <si>
    <r>
      <rPr/>
      <t xml:space="preserve">Go to Living Wage Foundation website </t>
    </r>
    <r>
      <rPr>
        <color rgb="FF1155CC"/>
        <u/>
      </rPr>
      <t>https://www.livingwage.org.uk/</t>
    </r>
    <r>
      <rPr/>
      <t xml:space="preserve"> and see if they are a member. Alternatively, see if they mention it in the annual report.</t>
    </r>
  </si>
  <si>
    <t>living wage, living wage accredited, living wage foundation</t>
  </si>
  <si>
    <r>
      <rPr/>
      <t xml:space="preserve">Living Wage Foundation </t>
    </r>
    <r>
      <rPr>
        <color rgb="FF1155CC"/>
        <u/>
      </rPr>
      <t>https://www.livingwage.org.uk/</t>
    </r>
  </si>
  <si>
    <t>Company does provide Healthcare Services for Employees</t>
  </si>
  <si>
    <t>Find this fact in the annual report - potentially under employees/wellbeing section.</t>
  </si>
  <si>
    <t>healthcare, private healthcare, mental health</t>
  </si>
  <si>
    <t>A binary indicator showing whether or not the company/group provides healthcare e.g. on-site GP practices, free consultations or treatment, to all employees.</t>
  </si>
  <si>
    <t>Company Publishes List of Suppliers (None / Tier 1 / Tier 2 and Above)</t>
  </si>
  <si>
    <t>J028</t>
  </si>
  <si>
    <t>slav_tier1_suppliers</t>
  </si>
  <si>
    <t>Check for a list or map of suppliers (or link to either). Can be worth googling for this one outside of the Modern Slavery Report (quite exceptional). Input 0 for none, 1 for all Tier 1 (direct) suppliers, 2 for all Tier 2 suppliers and above
Keywords: list of, full, Tier 1, map, sourcing map</t>
  </si>
  <si>
    <t>suppliers, tier 1, direct, indirect, tier 2, map, list</t>
  </si>
  <si>
    <t>This is a binary indicator to record whether a company publishes a list of suppliers that the they conducts business with, including contracted manufacturing facilities or production partners: none - 0, Tier 1 - 1, Tier 2 and above - 2.</t>
  </si>
  <si>
    <t>Modern Slavery Statement</t>
  </si>
  <si>
    <t>% Supply Chains or Suppliers Subjected to Risk-Assessment</t>
  </si>
  <si>
    <t>J023</t>
  </si>
  <si>
    <t>slav_chains</t>
  </si>
  <si>
    <t>This will be found in the annual report and/or on their website</t>
  </si>
  <si>
    <t>supply chains, supplier, risk, risk assessment, human rights, slavery, modern slavery</t>
  </si>
  <si>
    <t>The percentage of supply chains that the company has subjected to risk-assessment according to its Modern Slavery Statement.</t>
  </si>
  <si>
    <t>% Supplier Payments Made Within Agreed Terms</t>
  </si>
  <si>
    <t>W004</t>
  </si>
  <si>
    <t>wb_ppc_agreed</t>
  </si>
  <si>
    <t>Uses Duty to Report Data (https://www.gov.uk/check-when-businesses-pay-invoices), paired with our Data on all subsidiaries to find and average prompt payment Data across all company subsidiaries. Take mean average.</t>
  </si>
  <si>
    <t>supplier payments</t>
  </si>
  <si>
    <t>This indicator records whether a company is a Signatory of the Prompt Payment Code, a voluntary scheme designed to encourage prompt payment between businesses, particularly from larger to smaller businesses.</t>
  </si>
  <si>
    <r>
      <rPr>
        <color rgb="FF000000"/>
        <u/>
      </rPr>
      <t xml:space="preserve">Duty to Report </t>
    </r>
    <r>
      <rPr>
        <color rgb="FF1155CC"/>
        <u/>
      </rPr>
      <t>https://check-payment-practices.service.gov.uk/search</t>
    </r>
  </si>
  <si>
    <t>% Supplier Payments In Less than 30 Days</t>
  </si>
  <si>
    <t>wb_ppc_30</t>
  </si>
  <si>
    <t>Uses Duty to Report Data (https://www.gov.uk/check-when-businesses-pay-invoices) paired with our Data on all subsidiaries to find and average prompt payment Data across all company subsidiaries. Use the mean.</t>
  </si>
  <si>
    <t>This indicator records the % of supplier payments made within their agreed terms (%).</t>
  </si>
  <si>
    <r>
      <rPr>
        <color rgb="FF000000"/>
        <u/>
      </rPr>
      <t xml:space="preserve">Duty to Report </t>
    </r>
    <r>
      <rPr>
        <color rgb="FF1155CC"/>
        <u/>
      </rPr>
      <t>https://check-payment-practices.service.gov.uk/search</t>
    </r>
  </si>
  <si>
    <t>Lost Time Injury Frequency Rate (LTIFR)</t>
  </si>
  <si>
    <t>wb_ltifr</t>
  </si>
  <si>
    <t>The number of workplace injuries that resulted in an employee's inability to work the next full work day. This is expressed as a Lost Time Injury Frequency Rate (incident per 1,000,000 hours)
The LTIFR is the rate per 1,000,000 hours worked of injuries that led to lost-time. This information is typically found in Annual Reports (via companies House or on their website). If the rate is given for 100,000 hours, please convert so that it is consistent with our standar (per 1,000,000 hours).
LTIFR is the gold-standard, however, stats like accident rate, are also accepted. If it is an accident rate - please note it in the internal 'Flag' column. 
Extra information:
To find absolute number of injuries: Choose ""lost time"" (preferred) or ""reportable"" accidents/injuries/incidents (there are rules in the UK that serious incidents need to be reported to the Health and Safety Executive - it's these that we're aiming to count). If they don't mention ""reportable"" - that's fine. In the case that it's given as a rate per number of hours worked, the calculation should be made using the following assumptions:
- 8 hours in a working day
- 261 working days in a year.
- 52 weeks of the year
e.g. if you had a company with an injury rate of 0.76 per 1,000,000 hours worked and 153,000 employees. 153,000 * 8 * 261 = 319,464,000 hours worked -&gt; (319,464,000 / 1,000,000) * 0.76 = approx 243 injuries</t>
  </si>
  <si>
    <t>injuries; accident; accidents; lost time; casualties</t>
  </si>
  <si>
    <t>The number of workplace injuries that resulted in an employee's inability to work the next full work day. This is expressed as a Lost Time Injury Frequency Rate (incident per 1,000,000 hours)</t>
  </si>
  <si>
    <t>Rate</t>
  </si>
  <si>
    <t>Total Number of Fatalities</t>
  </si>
  <si>
    <t>collection_fatalities</t>
  </si>
  <si>
    <t>Find total number of fatalities. It may be referred to as fatal accidents, deaths, passed away, etc. The fatalities should include employees, contractors, and any other member of the public that they have killed</t>
  </si>
  <si>
    <t>deaths, fatalities, lost their lives, sadly</t>
  </si>
  <si>
    <t>Total Number of Fatalities as a Proportion of Total Employees</t>
  </si>
  <si>
    <t>Fatalities / employees</t>
  </si>
  <si>
    <t>ticker</t>
  </si>
  <si>
    <t>company_name</t>
  </si>
  <si>
    <t>yahoo_name</t>
  </si>
  <si>
    <t>website_ticker</t>
  </si>
  <si>
    <t>yahoo_ticker</t>
  </si>
  <si>
    <t>sector</t>
  </si>
  <si>
    <t>industry</t>
  </si>
  <si>
    <t>company_description</t>
  </si>
  <si>
    <t>companies_house_id</t>
  </si>
  <si>
    <t>companies_house_link</t>
  </si>
  <si>
    <t>search_terms</t>
  </si>
  <si>
    <t>violation_tracker_name</t>
  </si>
  <si>
    <t>glassdoor_url</t>
  </si>
  <si>
    <t>AAF</t>
  </si>
  <si>
    <t>Airtel Africa</t>
  </si>
  <si>
    <t>AAF.L</t>
  </si>
  <si>
    <t>Airtel Africa is a multinational company that provides telecommunications and mobile money services in 14 countries in Africa, primarily in East, Central and West Africa. Airtel Africa is majority owned by the Indian telecommunications company Bharti Airtel.</t>
  </si>
  <si>
    <t>11462215</t>
  </si>
  <si>
    <t>airtel</t>
  </si>
  <si>
    <t>https://www.glassdoor.co.uk/Overview/Working-at-Bharti-Airtel-EI_IE38320.11,24.htm</t>
  </si>
  <si>
    <t>AAL</t>
  </si>
  <si>
    <t>Anglo American</t>
  </si>
  <si>
    <t>Anglo American plc</t>
  </si>
  <si>
    <t>AAL.L</t>
  </si>
  <si>
    <t>Anglo American is a multinational mining company that is the world's largest producer of platinum, with around 40% of world output, as well as being a major producer of diamonds, copper, nickel, iron ore, polyhalite and steelmaking coal.</t>
  </si>
  <si>
    <t>03564138</t>
  </si>
  <si>
    <t>anglo american</t>
  </si>
  <si>
    <t>Anglo American PLC</t>
  </si>
  <si>
    <t>https://www.glassdoor.co.uk/Overview/Working-at-Anglo-American-EI_IE3491.11,25.htm</t>
  </si>
  <si>
    <t>ABDN</t>
  </si>
  <si>
    <t>Abrdn</t>
  </si>
  <si>
    <t>ABDN.L</t>
  </si>
  <si>
    <t>Abrdn is an investment management group, managing assets for both institutions and private investors from offices around the world.</t>
  </si>
  <si>
    <t>SC286832</t>
  </si>
  <si>
    <t>abrdn</t>
  </si>
  <si>
    <t>Abrdn PLC</t>
  </si>
  <si>
    <t>https://www.glassdoor.co.uk/Overview/Working-at-abrdn-EI_IE10239.11,16.htm</t>
  </si>
  <si>
    <t>ABF</t>
  </si>
  <si>
    <t>Associated British Foods</t>
  </si>
  <si>
    <t>ABF.L</t>
  </si>
  <si>
    <t>Associated British Foods plc is a multinational food processing and retailing company. Its ingredients division is the world's second-largest producer of both sugar and baker's yeast and a major producer of other ingredients including emulsifiers, enzymes and lactose.</t>
  </si>
  <si>
    <t>00293262</t>
  </si>
  <si>
    <t>associated british foods, primark, allied bakeries</t>
  </si>
  <si>
    <t>https://www.glassdoor.co.uk/Overview/Working-at-Associated-British-Foods-EI_IE10110.11,35.htm</t>
  </si>
  <si>
    <t>ADM</t>
  </si>
  <si>
    <t>Admiral Group</t>
  </si>
  <si>
    <t>ADM.L</t>
  </si>
  <si>
    <t>Admiral Group plc is a global financial services company offering insurance products, including motor, household, travel and pet insurance, and personal lending products.</t>
  </si>
  <si>
    <t>03849958</t>
  </si>
  <si>
    <t>admiral</t>
  </si>
  <si>
    <t>https://www.glassdoor.co.uk/Overview/Working-at-Admiral-Group-EI_IE35772.11,24.htm</t>
  </si>
  <si>
    <t>AHT</t>
  </si>
  <si>
    <t>Ashtead Group</t>
  </si>
  <si>
    <t>AHT.L</t>
  </si>
  <si>
    <t>Ashtead Group is an international equipment rental company with national networks in the US, UK and Canada, trading under the name Sunbelt Rentals.</t>
  </si>
  <si>
    <t>01807982</t>
  </si>
  <si>
    <t>ashtead</t>
  </si>
  <si>
    <t>Ashtead Group PLC</t>
  </si>
  <si>
    <t>https://www.glassdoor.co.uk/Reviews/Sunbelt-Rentals-Reviews-E19665.htm</t>
  </si>
  <si>
    <t>ANTO</t>
  </si>
  <si>
    <t>Antofagasta</t>
  </si>
  <si>
    <t>Antofagasta plc</t>
  </si>
  <si>
    <t>ANTO.L</t>
  </si>
  <si>
    <t>Antofagasta Plc is a Chilean multinational company, which engages in copper mining, transport, and water distribution businesses.</t>
  </si>
  <si>
    <t>01627889</t>
  </si>
  <si>
    <t>antofagasta</t>
  </si>
  <si>
    <t>https://www.glassdoor.co.uk/Overview/Working-at-Antofagasta-EI_IE11472.11,22.htm</t>
  </si>
  <si>
    <t>AUTO</t>
  </si>
  <si>
    <t>Auto Trader Group</t>
  </si>
  <si>
    <t>AUTO.L</t>
  </si>
  <si>
    <t>Auto Trader Group is a British automotive online marketplace and classified advertising business. It enables the buying and selling of new and used vehicles by private sellers and trade retailers.</t>
  </si>
  <si>
    <t>09439967</t>
  </si>
  <si>
    <t>auto trader</t>
  </si>
  <si>
    <t>https://www.glassdoor.co.uk/Overview/Working-at-Auto-Trader-UK-EI_IE505215.11,25.htm</t>
  </si>
  <si>
    <t>AV.</t>
  </si>
  <si>
    <t>Aviva</t>
  </si>
  <si>
    <t>AV.L</t>
  </si>
  <si>
    <t>Aviva is a British multinational insurance company with 18 million customers across its core markets of the United Kingdom, Ireland and Canada. In the United Kingdom, Aviva is the largest general insurer and a leading life and pensions provider.</t>
  </si>
  <si>
    <t>02468686</t>
  </si>
  <si>
    <t>aviva</t>
  </si>
  <si>
    <t>https://www.glassdoor.co.uk/Overview/Working-at-Aviva-EI_IE311641.11,16.htm</t>
  </si>
  <si>
    <t>AZN</t>
  </si>
  <si>
    <t>Astrazeneca</t>
  </si>
  <si>
    <t>AZN.L</t>
  </si>
  <si>
    <t>AstraZeneca is a British-Swedish multinational pharmaceutical and biotechnology company with its headquarters in Cambridge, England.</t>
  </si>
  <si>
    <t>02723534</t>
  </si>
  <si>
    <t>astrazeneca</t>
  </si>
  <si>
    <t>AstraZeneca</t>
  </si>
  <si>
    <t>https://www.glassdoor.co.uk/Overview/Working-at-AstraZeneca-EI_IE9214.11,22.htm</t>
  </si>
  <si>
    <t>BA.</t>
  </si>
  <si>
    <t>BAE Systems</t>
  </si>
  <si>
    <t>BA.L</t>
  </si>
  <si>
    <t>BAE Systems is a British multinational arms, security, and aerospace company based in London, England. It is the largest defence contractor in Europe, and ranked the seventh-largest in the world based.</t>
  </si>
  <si>
    <t>01470151</t>
  </si>
  <si>
    <t>bae systems</t>
  </si>
  <si>
    <t>https://www.glassdoor.co.uk/Overview/Working-at-BAE-Systems-EI_IE1653490.11,22.htm</t>
  </si>
  <si>
    <t>BARC</t>
  </si>
  <si>
    <t>Barclays</t>
  </si>
  <si>
    <t>BARC.L</t>
  </si>
  <si>
    <t>Barclays is a British multinational universal bank, providing consumer banking services, as well as being a global corporate and investment bank.</t>
  </si>
  <si>
    <t>00048839</t>
  </si>
  <si>
    <t>barclays</t>
  </si>
  <si>
    <t>https://www.glassdoor.co.uk/Overview/Working-at-Barclays-EI_IE3456.11,19.htm</t>
  </si>
  <si>
    <t>BATS</t>
  </si>
  <si>
    <t>British American Tobacco</t>
  </si>
  <si>
    <t>BATS.L</t>
  </si>
  <si>
    <t>British American Tobacco is a British multinational company that manufactures and sells cigarettes, tobacco and other nicotine products.</t>
  </si>
  <si>
    <t>03407696</t>
  </si>
  <si>
    <t>british american tobacco</t>
  </si>
  <si>
    <t>https://www.glassdoor.co.uk/Overview/Working-at-British-American-Tobacco-EI_IE8378.11,35.htm</t>
  </si>
  <si>
    <t>BDEV</t>
  </si>
  <si>
    <t>Barratt Developments</t>
  </si>
  <si>
    <t>BDEV.L</t>
  </si>
  <si>
    <t>Barratt Developments is one of the largest residential property development  and construction companies in the United Kingdom operating across England, Wales and Scotland.</t>
  </si>
  <si>
    <t>00604574</t>
  </si>
  <si>
    <t>barratt developments</t>
  </si>
  <si>
    <t>https://www.glassdoor.co.uk/Overview/Working-at-Barratt-Developments-EI_IE10844.11,31.htm</t>
  </si>
  <si>
    <t>BEZ</t>
  </si>
  <si>
    <t>Beazley</t>
  </si>
  <si>
    <t>Beazley Group</t>
  </si>
  <si>
    <t>BEZ.L</t>
  </si>
  <si>
    <t xml:space="preserve">Beazley is the British parent company of specialist insurance businesses with operations in Europe, the US, and Asia. it is a Lloyds of London insurer, specialising in writing specialty-risk insurance and reinsurance business. </t>
  </si>
  <si>
    <t>09763575</t>
  </si>
  <si>
    <t>beazley</t>
  </si>
  <si>
    <t>https://www.glassdoor.co.uk/Overview/Working-at-Beazley-Group-EI_IE24586.11,24.htm</t>
  </si>
  <si>
    <t>BKG</t>
  </si>
  <si>
    <t>Berkeley Group Holdings</t>
  </si>
  <si>
    <t>BKG.L</t>
  </si>
  <si>
    <t>Berkeley Group Holdings is a British property developer and house-builder based in Cobham, England.</t>
  </si>
  <si>
    <t>05172586</t>
  </si>
  <si>
    <t>berkeley group</t>
  </si>
  <si>
    <t>https://www.glassdoor.co.uk/Overview/Working-at-Berkeley-Group-EI_IE10118.11,25.htm</t>
  </si>
  <si>
    <t>BLND</t>
  </si>
  <si>
    <t>British Land Co</t>
  </si>
  <si>
    <t>British Land</t>
  </si>
  <si>
    <t>BLND.L</t>
  </si>
  <si>
    <t>British Land is a property company which creates, owns and manages UK real estate. It is one of the largest property development and investment companies in the United Kingdom.</t>
  </si>
  <si>
    <t>00621920</t>
  </si>
  <si>
    <t>british land</t>
  </si>
  <si>
    <t>https://www.glassdoor.co.uk/Overview/Working-at-British-Land-Company-EI_IE10847.11,31.htm</t>
  </si>
  <si>
    <t>BME</t>
  </si>
  <si>
    <t>B&amp;M</t>
  </si>
  <si>
    <t>B&amp;M European Value Retail S.A.</t>
  </si>
  <si>
    <t>BME.L</t>
  </si>
  <si>
    <t>B&amp;M is a British multinational variety store chain founded in 1978 and incorporated in Luxembourg.</t>
  </si>
  <si>
    <t>08309974</t>
  </si>
  <si>
    <t>b&amp;m</t>
  </si>
  <si>
    <t>https://www.glassdoor.co.uk/Overview/Working-at-B-and-M-Retail-EI_IE629657.11,25.htm</t>
  </si>
  <si>
    <t>BNZL</t>
  </si>
  <si>
    <t>Bunzl</t>
  </si>
  <si>
    <t>BNZL.L</t>
  </si>
  <si>
    <t xml:space="preserve">Bunzl plc is a British multinational distribution and outsourcing company headquartered in London, England. </t>
  </si>
  <si>
    <t>00358948</t>
  </si>
  <si>
    <t>bunzl</t>
  </si>
  <si>
    <t>https://www.glassdoor.co.uk/Overview/Working-at-Bunzl-EI_IE10133.11,16.htm</t>
  </si>
  <si>
    <t>BP.</t>
  </si>
  <si>
    <t>BP</t>
  </si>
  <si>
    <t>BP.L</t>
  </si>
  <si>
    <t>BP is a British multinational oil and gas company headquartered in London, England. It is one the world's largest companies measured by revenues and profits.</t>
  </si>
  <si>
    <t>00102498</t>
  </si>
  <si>
    <t>bp</t>
  </si>
  <si>
    <t>https://www.glassdoor.co.uk/Overview/Working-at-BP-EI_IE9011.11,13.htm</t>
  </si>
  <si>
    <t>BRBY</t>
  </si>
  <si>
    <t>Burberry</t>
  </si>
  <si>
    <t>Burberry Group</t>
  </si>
  <si>
    <t>BRBY.L</t>
  </si>
  <si>
    <t xml:space="preserve">Burberry Group is a British luxury fashion house that designs and distributes ready to wear, including trench coats, leather accessories, and footwear. </t>
  </si>
  <si>
    <t>03458224</t>
  </si>
  <si>
    <t>burberry</t>
  </si>
  <si>
    <t>https://www.glassdoor.co.uk/Overview/Working-at-Burberry-EI_IE13011.11,19.htm</t>
  </si>
  <si>
    <t>BT.A</t>
  </si>
  <si>
    <t>BT Group</t>
  </si>
  <si>
    <t>BT-A.L</t>
  </si>
  <si>
    <t>BT Group is a British multinational telecommunications holding company headquartered in London, England. It has operations in around 180 countries and is the largest provider of fixed-line, broadband and mobile services in the UK, and also provides subscription television and IT services.</t>
  </si>
  <si>
    <t>04190816</t>
  </si>
  <si>
    <t>bt, openreach</t>
  </si>
  <si>
    <t>BT</t>
  </si>
  <si>
    <t>https://www.glassdoor.co.uk/Overview/Working-at-BT-EI_IE3463.11,13.htm</t>
  </si>
  <si>
    <t>CCH</t>
  </si>
  <si>
    <t>Coca-Cola HBC</t>
  </si>
  <si>
    <t>Coca-Cola Hbc Ag</t>
  </si>
  <si>
    <t>CCH.L</t>
  </si>
  <si>
    <t>Coca-Cola HBC AG also known as Coca-Cola Hellenic Bottling Company or just Coca-Cola Hellenic is the world's third-largest Coca-Cola anchor bottler in terms of volume with sales of more than 2 billion unit cases.</t>
  </si>
  <si>
    <t>n/a</t>
  </si>
  <si>
    <t>coca-cola hbc, coca-cola hellenic</t>
  </si>
  <si>
    <t>https://www.glassdoor.co.uk/Overview/Working-at-Coca-Cola-HBC-EI_IE10550.11,24.htm</t>
  </si>
  <si>
    <t>CNA</t>
  </si>
  <si>
    <t>Centrica</t>
  </si>
  <si>
    <t>CNA.L</t>
  </si>
  <si>
    <t>Centrica plc is a British multinational energy and services company. Its principal activity is the supply of electricity and gas to consumers in the United Kingdom and Ireland.</t>
  </si>
  <si>
    <t>03033654</t>
  </si>
  <si>
    <t>centrica</t>
  </si>
  <si>
    <t>https://www.glassdoor.co.uk/Overview/Working-at-Centrica-EI_IE6731.11,19.htm</t>
  </si>
  <si>
    <t>CPG</t>
  </si>
  <si>
    <t>Compass Group</t>
  </si>
  <si>
    <t>CPG.L</t>
  </si>
  <si>
    <t>Compass Group plc is a British multinational contract foodservice company. It is the largest contract foodservice company in Europe, ahead of Sodexo, employing over 500,000 people.</t>
  </si>
  <si>
    <t>04083914</t>
  </si>
  <si>
    <t>compass</t>
  </si>
  <si>
    <t>https://www.glassdoor.co.uk/Overview/Working-at-Compass-Group-EI_IE10832.11,24.htm</t>
  </si>
  <si>
    <t>CRDA</t>
  </si>
  <si>
    <t>Croda International</t>
  </si>
  <si>
    <t>CRDA.L</t>
  </si>
  <si>
    <t xml:space="preserve">Croda International plc is a British speciality chemicals company. </t>
  </si>
  <si>
    <t>00206132</t>
  </si>
  <si>
    <t>croda</t>
  </si>
  <si>
    <t>https://www.glassdoor.co.uk/Overview/Working-at-Croda-EI_IE10140.11,16.htm</t>
  </si>
  <si>
    <t>CRH</t>
  </si>
  <si>
    <t>CRH plc</t>
  </si>
  <si>
    <t>CRH.L</t>
  </si>
  <si>
    <t>CRH plc is an international group of diversified building materials businesses. It manufactures and supplies a wide range of products for the construction industry.</t>
  </si>
  <si>
    <t>crh</t>
  </si>
  <si>
    <t>CRH PLC</t>
  </si>
  <si>
    <t>https://www.glassdoor.co.uk/Overview/Working-at-CRH-EI_IE10480.11,14.htm</t>
  </si>
  <si>
    <t>CTEC</t>
  </si>
  <si>
    <t>Convatec</t>
  </si>
  <si>
    <t>Convatec Group</t>
  </si>
  <si>
    <t>CTEC.L</t>
  </si>
  <si>
    <t>Convatec Group plc is a medical products and technologies company, offering products and services in the areas of wound and skin care, ostomy care, continence and critical care and infusion devices.</t>
  </si>
  <si>
    <t>10361298</t>
  </si>
  <si>
    <t>convatec</t>
  </si>
  <si>
    <t>https://www.glassdoor.co.uk/Overview/Working-at-ConvaTec-EI_IE13863.11,19.htm</t>
  </si>
  <si>
    <t>DCC</t>
  </si>
  <si>
    <t>DCC plc</t>
  </si>
  <si>
    <t>DCC.L</t>
  </si>
  <si>
    <t xml:space="preserve">DCC plc is a leading Irish international sales, marketing and support services group operating in 22 countries. The Group operates across three sectors: energy, healthcare and technology, employing over 16,000. </t>
  </si>
  <si>
    <t>dcc</t>
  </si>
  <si>
    <t>https://www.glassdoor.co.uk/Overview/Working-at-DCC-EI_IE12649.11,14.htm</t>
  </si>
  <si>
    <t>DGE</t>
  </si>
  <si>
    <t>Diageo</t>
  </si>
  <si>
    <t>DGE.L</t>
  </si>
  <si>
    <t>Diageo plc is a British multinational alcoholic beverage company. It operates from 132 sites around the world. It is a major distributor of Scotch whisky and other spirits.</t>
  </si>
  <si>
    <t>00023307</t>
  </si>
  <si>
    <t>diageo</t>
  </si>
  <si>
    <t>https://www.glassdoor.co.uk/Overview/Working-at-Diageo-EI_IE7438.11,17.htm</t>
  </si>
  <si>
    <t>EDV</t>
  </si>
  <si>
    <t>Endeavour Mining</t>
  </si>
  <si>
    <t>EDV.L</t>
  </si>
  <si>
    <t>Endeavour Mining is a multinational mining company that owns and operates gold mines in Côte d'Ivoire, Burkina Faso and Senegal.</t>
  </si>
  <si>
    <t>13280545</t>
  </si>
  <si>
    <t>endeavour mining</t>
  </si>
  <si>
    <t>https://www.glassdoor.co.uk/Overview/Working-at-Endeavour-EI_IE1453795.11,20.htm</t>
  </si>
  <si>
    <t>EXPN</t>
  </si>
  <si>
    <t>Experian</t>
  </si>
  <si>
    <t>EXPN.L</t>
  </si>
  <si>
    <t>Experian is a multinational data analytics and consumer credit reporting company headquartered in Dublin, Ireland. Experian collects and aggregates information on over 1 billion people and businesses including 235 million individual U.S. consumers and more than 25 million U.S. businesses.</t>
  </si>
  <si>
    <t>experian</t>
  </si>
  <si>
    <t>https://www.glassdoor.co.uk/Overview/Working-at-Experian-EI_IE42406.11,19.htm</t>
  </si>
  <si>
    <t>FCIT</t>
  </si>
  <si>
    <t>F&amp;C Investment Trust</t>
  </si>
  <si>
    <t>Foreign &amp; Colonial Investment Trust</t>
  </si>
  <si>
    <t>FCIT.L</t>
  </si>
  <si>
    <t>Foreign &amp; Colonial Investment Trust (F&amp;C) is a publicly traded investment trust.</t>
  </si>
  <si>
    <t>00012901</t>
  </si>
  <si>
    <t>f&amp;c</t>
  </si>
  <si>
    <t>https://www.glassdoor.co.uk/Overview/Working-at-F-and-C-Asset-Management-EI_IE13299.11,35.htm</t>
  </si>
  <si>
    <t>FLTR</t>
  </si>
  <si>
    <t>Flutter Entertainment</t>
  </si>
  <si>
    <t>FLTR.L</t>
  </si>
  <si>
    <t>Flutter Entertainment plc, formerly Paddy Power Betfair plc, is an international sports betting and gambling company. It owns brands such as Betfair, FanDuel, Paddy Power, PokerStars, Sky Betting &amp; Gaming, and Sportsbet.</t>
  </si>
  <si>
    <t>flutter entertainment, paddy power, betfair</t>
  </si>
  <si>
    <t>https://www.glassdoor.co.uk/Overview/Working-at-Paddy-Power-Betfair-EI_IE100546.11,30.htm</t>
  </si>
  <si>
    <t>FRAS</t>
  </si>
  <si>
    <t>Frasers Group</t>
  </si>
  <si>
    <t>FRAS.L</t>
  </si>
  <si>
    <t>Frasers Group is a fashion company, and owns brands such as Sports Direct, House of Fraser, Frasers, FLANNELS, GAME, Jack Wills, Sofa.com, Evans Cycles, USC, and Everlast.</t>
  </si>
  <si>
    <t>06035106</t>
  </si>
  <si>
    <t>frasers, house of fraser, sports direct</t>
  </si>
  <si>
    <t>Frasers Group PLC</t>
  </si>
  <si>
    <t>https://www.glassdoor.co.uk/Overview/Working-at-Frasers-Group-EI_IE3870826.11,24.htm</t>
  </si>
  <si>
    <t>FRES</t>
  </si>
  <si>
    <t>Fresnillo</t>
  </si>
  <si>
    <t>Fresnillo plc</t>
  </si>
  <si>
    <t>FRES.L</t>
  </si>
  <si>
    <t xml:space="preserve">Fresnillo plc is a Mexican precious metals mining company incorporated in the United Kingdom and headquartered in Mexico City. Fresnillo is the world's largest producer of silver from ore and Mexico's second-largest gold miner. </t>
  </si>
  <si>
    <t>06344120</t>
  </si>
  <si>
    <t>fresnillo</t>
  </si>
  <si>
    <t>https://www.glassdoor.co.uk/Overview/Working-at-Fresnillo-EI_IE157136.11,20.htm</t>
  </si>
  <si>
    <t>GLEN</t>
  </si>
  <si>
    <t>Glencore</t>
  </si>
  <si>
    <t>GLEN.L</t>
  </si>
  <si>
    <t>Glencore plc is a Swiss multinational commodity trading and mining company with headquarters in Baar, Switzerland. Glencore's oil and gas head office is in London and its registered office is in Saint Helier, Jersey. The current company was created through a merger of Glencore with Xstrata on 2 May 2013.</t>
  </si>
  <si>
    <t>glencore</t>
  </si>
  <si>
    <t>https://www.glassdoor.co.uk/Overview/Working-at-Glencore-EI_IE12231.11,19.htm</t>
  </si>
  <si>
    <t>GSK</t>
  </si>
  <si>
    <t>GSK plc</t>
  </si>
  <si>
    <t>GSK.L</t>
  </si>
  <si>
    <t>GSK plc, is a British multinational pharmaceutical and biotechnology company with global headquarters in London.</t>
  </si>
  <si>
    <t>03888792</t>
  </si>
  <si>
    <t>glaxosmithkline</t>
  </si>
  <si>
    <t>GlaxoSmithKline</t>
  </si>
  <si>
    <t>https://www.glassdoor.co.uk/Overview/Working-at-GlaxoSmithKline-EI_IE3477.11,26.htm</t>
  </si>
  <si>
    <t>GVC</t>
  </si>
  <si>
    <t>Entain</t>
  </si>
  <si>
    <t>ENT.L</t>
  </si>
  <si>
    <t>Entain plc, formerly GVC Holdings, is an international sports betting and gambling company. It is listed on the London Stock Exchange and is a constituent of the FTSE 100 Index. It owns brands such as bwin, Coral, Ladbrokes, PartyPoker and Sportingbet.</t>
  </si>
  <si>
    <t>ladbrokes</t>
  </si>
  <si>
    <t>https://www.glassdoor.co.uk/Overview/Working-at-GVC-Group-EI_IE341832.11,20.htm</t>
  </si>
  <si>
    <t>HL.</t>
  </si>
  <si>
    <t>Hargreaves Lansdown</t>
  </si>
  <si>
    <t>HL.L</t>
  </si>
  <si>
    <t>Hargreaves Lansdown plc is a British financial service company based in Bristol, England. It sells funds and shares and related products to retail investors in the United Kingdom. The company is listed on the London Stock Exchange and is a constituent of the FTSE 100 Index.</t>
  </si>
  <si>
    <t>02122142</t>
  </si>
  <si>
    <t>hargreaves lansdown</t>
  </si>
  <si>
    <t>https://www.glassdoor.co.uk/Overview/Working-at-Hargreaves-Lansdown-EI_IE100339.11,30.htm</t>
  </si>
  <si>
    <t>HLMA</t>
  </si>
  <si>
    <t>Halma</t>
  </si>
  <si>
    <t>Halma plc</t>
  </si>
  <si>
    <t>HLMA.L</t>
  </si>
  <si>
    <t>Halma plc is a British global group of safety equipment companies that makes products for hazard detection and life protection based in Amersham, England. It is listed on the London Stock Exchange and is a constituent of the FTSE 100 Index.</t>
  </si>
  <si>
    <t>00040932</t>
  </si>
  <si>
    <t>halma</t>
  </si>
  <si>
    <t>https://www.glassdoor.co.uk/Overview/Working-at-Halma-EI_IE10162.11,16.htm</t>
  </si>
  <si>
    <t>HLN</t>
  </si>
  <si>
    <t>Haleon</t>
  </si>
  <si>
    <t>HLN.L</t>
  </si>
  <si>
    <t>Haleon plc is a British multinational consumer healthcare company with headquarters in Weybridge, England. It is one of the largest consumer healthcare business in the world, with brands including Sensodyne toothpaste, Panadol and Advil painkillers and Centrum vitamins.</t>
  </si>
  <si>
    <t>13691224</t>
  </si>
  <si>
    <t>haleon</t>
  </si>
  <si>
    <t>https://www.glassdoor.co.uk/Overview/Working-at-Haleon-EI_IE7672306.11,17.htm</t>
  </si>
  <si>
    <t>HSBA</t>
  </si>
  <si>
    <t>HSBC</t>
  </si>
  <si>
    <t>Hsbc Hldgs</t>
  </si>
  <si>
    <t>HSBA.L</t>
  </si>
  <si>
    <t>HSBC is a British universal bank and financial services group headquartered in London, England, with unique historical and business links to East Asia and a highly multinational footprint. It is the largest Europe-based bank by total assets, ahead of BNP Paribas, with US$2.953 trillion as of December 2021.</t>
  </si>
  <si>
    <t>00617987</t>
  </si>
  <si>
    <t>hsbc</t>
  </si>
  <si>
    <t>https://www.glassdoor.co.uk/Overview/Working-at-HSBC-Holdings-EI_IE3482.11,24.htm</t>
  </si>
  <si>
    <t>HSX</t>
  </si>
  <si>
    <t>Hiscox</t>
  </si>
  <si>
    <t>Hiscox Ld</t>
  </si>
  <si>
    <t>HSX.L</t>
  </si>
  <si>
    <t>Hiscox Ltd. is an Anglo-Bermudan insurance provider, listed on the London Stock Exchange. An underwriter at Lloyd's of London, the company largely specialises in niche areas of the market, offering ...</t>
  </si>
  <si>
    <t>02837811</t>
  </si>
  <si>
    <t>hiscox</t>
  </si>
  <si>
    <t>https://www.glassdoor.co.uk/Overview/Working-at-Hiscox-EI_IE18106.11,17.htm</t>
  </si>
  <si>
    <t>IAG</t>
  </si>
  <si>
    <t>International Airlines Group</t>
  </si>
  <si>
    <t>Intl Consolidated Airlines Group Sa</t>
  </si>
  <si>
    <t>IAG.L</t>
  </si>
  <si>
    <t>International Consolidated Airlines Group S.A., trading as International Airlines Group and usually shortened to IAG, is an Anglo-Spanish multinational airline holding company with its registered office in Madrid, Spain, and its corporate headquarters in London, England.</t>
  </si>
  <si>
    <t>FC029884</t>
  </si>
  <si>
    <t>international airlines, british airways</t>
  </si>
  <si>
    <t>https://www.glassdoor.co.uk/Overview/Working-at-International-Airlines-Group-EI_IE823718.11,39.htm</t>
  </si>
  <si>
    <t>IHG</t>
  </si>
  <si>
    <t>IHG Hotels &amp; Resorts</t>
  </si>
  <si>
    <t>Intercontinental Hotels Group</t>
  </si>
  <si>
    <t>IHG.L</t>
  </si>
  <si>
    <t>InterContinental Hotels Group, marketed as IHG Hotels &amp; Resorts, is a British multinational hospitality company headquartered in Windsor, England. It is listed on the London Stock Exchange and the New York Stock Exchange. It is also a constituent of the FTSE 100 Index.</t>
  </si>
  <si>
    <t>05134420</t>
  </si>
  <si>
    <t>intercontinental hotels</t>
  </si>
  <si>
    <t>InterContinental Hotels</t>
  </si>
  <si>
    <t>https://www.glassdoor.co.uk/Overview/Working-at-InterContinental-Hotels-Group-EI_IE4232.11,40.htm</t>
  </si>
  <si>
    <t>III</t>
  </si>
  <si>
    <t>3i</t>
  </si>
  <si>
    <t>3I Group</t>
  </si>
  <si>
    <t>III.L</t>
  </si>
  <si>
    <t>3i Group plc is a British multinational private equity and venture capital company based in London, England. 3i is listed on the London Stock Exchange and is a constituent of the FTSE 100 Index.</t>
  </si>
  <si>
    <t>01142830</t>
  </si>
  <si>
    <t>https://www.glassdoor.co.uk/Overview/Working-at-3i-Group-EI_IE5365.11,19.htm</t>
  </si>
  <si>
    <t>IMB</t>
  </si>
  <si>
    <t>Imperial Brands</t>
  </si>
  <si>
    <t>IMB.L</t>
  </si>
  <si>
    <t>Imperial Brands plc, is a British multinational tobacco company headquartered in London and Bristol, England.</t>
  </si>
  <si>
    <t>03236483</t>
  </si>
  <si>
    <t>imperial brands</t>
  </si>
  <si>
    <t>https://www.glassdoor.co.uk/Overview/Working-at-Imperial-Brands-EI_IE6425.11,26.htm</t>
  </si>
  <si>
    <t>INFR</t>
  </si>
  <si>
    <t>Informa</t>
  </si>
  <si>
    <t>INF.L</t>
  </si>
  <si>
    <t>Informa plc is a British publishing, business intelligence, and exhibitions group based in London, England. It is listed on the London Stock Exchange and is a constituent of the FTSE 100 Index. It has offices in 43 countries and around 11,000 employees.</t>
  </si>
  <si>
    <t>08860726</t>
  </si>
  <si>
    <t>informa</t>
  </si>
  <si>
    <t>https://www.glassdoor.co.uk/Overview/Working-at-Informa-EI_IE9185.11,18.htm</t>
  </si>
  <si>
    <t>ITRK</t>
  </si>
  <si>
    <t>Intertek</t>
  </si>
  <si>
    <t>Intertek Group</t>
  </si>
  <si>
    <t>ITRK.L</t>
  </si>
  <si>
    <t>Intertek Group plc is a British multinational assurance, inspection, product testing and certification company headquartered in London, England. It is listed on the London Stock Exchange and is a constituent of the FTSE 100 Index.</t>
  </si>
  <si>
    <t>04267576</t>
  </si>
  <si>
    <t>intertek</t>
  </si>
  <si>
    <t>https://www.glassdoor.co.uk/Overview/Working-at-Intertek-EI_IE15251.11,19.htm</t>
  </si>
  <si>
    <t>JD.</t>
  </si>
  <si>
    <t>JD Sports</t>
  </si>
  <si>
    <t>Jd Sports Fashion</t>
  </si>
  <si>
    <t>JD.L</t>
  </si>
  <si>
    <t>JD Sports Fashion plc, commonly known as JD Sports, JD or JD Group is a British sports-fashion retail company based in Bury, Greater Manchester, England. It is listed on the London Stock Exchange and is a constituent of the FTSE 100 Index. The Pentland Group owns 55% of the company.</t>
  </si>
  <si>
    <t>01888425</t>
  </si>
  <si>
    <t>jd sports</t>
  </si>
  <si>
    <t>JD Sports Fashion</t>
  </si>
  <si>
    <t>https://www.glassdoor.co.uk/Overview/Working-at-JD-Sports-Fashion-EI_IE13180.11,28.htm</t>
  </si>
  <si>
    <t>JMAT</t>
  </si>
  <si>
    <t>Johnson Matthey</t>
  </si>
  <si>
    <t>JMAT.L</t>
  </si>
  <si>
    <t>Johnson Matthey is a British multinational speciality chemicals and sustainable technologies company headquartered in London, England. It is listed on the London Stock Exchange and is a constituent of the FTSE 100 Index.</t>
  </si>
  <si>
    <t>00033774</t>
  </si>
  <si>
    <t>johnson matthey</t>
  </si>
  <si>
    <t>https://www.glassdoor.co.uk/Overview/Working-at-Johnson-Matthey-EI_IE823708.11,26.htm</t>
  </si>
  <si>
    <t>KGF</t>
  </si>
  <si>
    <t>Kingfisher</t>
  </si>
  <si>
    <t>Kingfisher plc</t>
  </si>
  <si>
    <t>KGF.L</t>
  </si>
  <si>
    <t>Kingfisher plc is a British multinational retailing company headquartered in London, England. It has over 1,300 stores in nine countries, and its brands include B&amp;Q, Castorama, Brico Dépôt and Screwfix. Kingfisher is listed on the London Stock Exchange, and is a constituent of the FTSE 100 Index.</t>
  </si>
  <si>
    <t>01664812</t>
  </si>
  <si>
    <t>kingfisher</t>
  </si>
  <si>
    <t>https://www.glassdoor.co.uk/Overview/Working-at-Kingfisher-EI_IE10182.11,21.htm</t>
  </si>
  <si>
    <t>LAND</t>
  </si>
  <si>
    <t>Land Securities</t>
  </si>
  <si>
    <t>Land Securities Group</t>
  </si>
  <si>
    <t>LAND.L</t>
  </si>
  <si>
    <t>Land Securities Group plc is the largest commercial property development and investment company in the United Kingdom. The firm became a real estate investment trust when REITs were introduced in the United Kingdom in January 2007.</t>
  </si>
  <si>
    <t>04369054</t>
  </si>
  <si>
    <t>land securities, landsec</t>
  </si>
  <si>
    <t>https://www.glassdoor.co.uk/Overview/Working-at-Landsec-EI_IE10187.11,18.htm</t>
  </si>
  <si>
    <t>LGEN</t>
  </si>
  <si>
    <t>Legal &amp; General</t>
  </si>
  <si>
    <t>Legal &amp; General Group</t>
  </si>
  <si>
    <t>LGEN.L</t>
  </si>
  <si>
    <t>Legal &amp; General Group plc, commonly known as Legal &amp; General, is a British multinational financial services and asset management company headquartered in London, England. Its products and services include investment management, lifetime mortgages, pensions, annuities, and life assurance.</t>
  </si>
  <si>
    <t>01417162</t>
  </si>
  <si>
    <t>legal general</t>
  </si>
  <si>
    <t>https://www.glassdoor.co.uk/Overview/Working-at-Legal-and-General-EI_IE10189.11,28.htm</t>
  </si>
  <si>
    <t>LLOY</t>
  </si>
  <si>
    <t>Lloyds Banking Group</t>
  </si>
  <si>
    <t>LLOY.L</t>
  </si>
  <si>
    <t>Lloyds Banking Group is a British financial institution formed through the acquisition of HBOS by Lloyds TSB in 2009. It is one of the UK's largest financial services organisations, with 30 million customers and 65,000 employees.</t>
  </si>
  <si>
    <t>SC095000</t>
  </si>
  <si>
    <t>lloyds</t>
  </si>
  <si>
    <t>https://www.glassdoor.co.uk/Overview/Working-at-Lloyds-Banking-Group-EI_IE316191.11,31.htm</t>
  </si>
  <si>
    <t>LSE</t>
  </si>
  <si>
    <t>London Stock Exchange Group</t>
  </si>
  <si>
    <t>LSEG.L</t>
  </si>
  <si>
    <t>London Stock Exchange Group plc (LSEG) is a United Kingdom-based stock exchange and financial information company headquartered in the City of London, England. It owns the London Stock Exchange (on which it is also listed), Refinitiv, LSEG Technology,[2] FTSE Russell, and majority stakes in LCH and Tradeweb.</t>
  </si>
  <si>
    <t>05369106</t>
  </si>
  <si>
    <t>london stock exchange</t>
  </si>
  <si>
    <t>https://www.glassdoor.co.uk/Overview/Working-at-London-Stock-Exchange-Group-EI_IE11860.11,38.htm</t>
  </si>
  <si>
    <t>MNDI</t>
  </si>
  <si>
    <t>Mondi</t>
  </si>
  <si>
    <t>MNDI.L</t>
  </si>
  <si>
    <t>Mondi plc is a multinational packaging and paper group employing around 21,000 people with around 100 production sites across more than 30 countries, predominantly in Europe, Russia, North America and South Africa. Group offices are located in Weybridge, United Kingdom and Vienna, Austria.</t>
  </si>
  <si>
    <t>06209386</t>
  </si>
  <si>
    <t>mondi</t>
  </si>
  <si>
    <t>https://www.glassdoor.co.uk/Overview/Working-at-Mondi-Group-EI_IE42692.11,22.htm</t>
  </si>
  <si>
    <t>MNG</t>
  </si>
  <si>
    <t>M&amp;G</t>
  </si>
  <si>
    <t>MNG.L</t>
  </si>
  <si>
    <t>M&amp;G plc is a global investment manager headquartered in the City of London. Since its de-merger from Prudential plc, it has been listed on the London Stock Exchange and is a constituent of the FTSE 100 Index.</t>
  </si>
  <si>
    <t>11444019</t>
  </si>
  <si>
    <t>m&amp;g</t>
  </si>
  <si>
    <t>https://www.glassdoor.co.uk/Overview/Working-at-M-and-G-plc-EI_IE36436.11,22.htm</t>
  </si>
  <si>
    <t>MRO</t>
  </si>
  <si>
    <t>Melrose Industries</t>
  </si>
  <si>
    <t>MRO.L</t>
  </si>
  <si>
    <t>Melrose Industries plc is a British manufacturing company based in London. It specialises in buying, investing in, and divesting engineering companies. Its shares are listed on the London Stock Exchange as a constituent of the FTSE 100 Index. Melrose serves customers in the United Kingdom and United States.</t>
  </si>
  <si>
    <t>09800044</t>
  </si>
  <si>
    <t>melrose industries</t>
  </si>
  <si>
    <t>https://www.glassdoor.co.uk/Reviews/Melrose-Industries-Reviews-E229812.htm</t>
  </si>
  <si>
    <t>NG.</t>
  </si>
  <si>
    <t>National Grid</t>
  </si>
  <si>
    <t>National Grid plc</t>
  </si>
  <si>
    <t>NG.L</t>
  </si>
  <si>
    <t>National Grid plc is a British multinational electricity and gas utility company headquartered in London, England.</t>
  </si>
  <si>
    <t>04031152</t>
  </si>
  <si>
    <t>national grid</t>
  </si>
  <si>
    <t>https://www.glassdoor.co.uk/Overview/Working-at-National-Grid-EI_IE474.11,24.htm</t>
  </si>
  <si>
    <t>NXT</t>
  </si>
  <si>
    <t>Next</t>
  </si>
  <si>
    <t>Next plc</t>
  </si>
  <si>
    <t>NXT.L</t>
  </si>
  <si>
    <t>Next plc is a British multinational clothing, footwear and home products retailer, which has its headquarters in Enderby, England. It has around 700 stores, of which circa 500 are in the United Kingdom, and circa 200 across Europe, Asia and the Middle East.</t>
  </si>
  <si>
    <t>04412362</t>
  </si>
  <si>
    <t>next</t>
  </si>
  <si>
    <t>https://www.glassdoor.co.uk/Overview/Working-at-next-EI_IE7749.11,15.htm</t>
  </si>
  <si>
    <t>OCDO</t>
  </si>
  <si>
    <t>Ocado Group</t>
  </si>
  <si>
    <t>OCDO.L</t>
  </si>
  <si>
    <t>Ocado Group is a British business based in Hatfield, England, which licenses grocery technology. It also owns a 50% share in the UK retail business, Ocado.com. The company is listed on the London Stock Exchange and is a constituent of the FTSE 100 Index.</t>
  </si>
  <si>
    <t>07098618</t>
  </si>
  <si>
    <t>ocado</t>
  </si>
  <si>
    <t>https://www.glassdoor.co.uk/Overview/Working-at-Ocado-Group-EI_IE22337.11,22.htm</t>
  </si>
  <si>
    <t>PHNX</t>
  </si>
  <si>
    <t>Phoenix Group</t>
  </si>
  <si>
    <t>Phoenix Group Holdings</t>
  </si>
  <si>
    <t>PHNX.L</t>
  </si>
  <si>
    <t>Phoenix Group Holdings plc is a provider of insurance services based in London, England. It is listed on the London Stock Exchange and is a constituent of the FTSE 100 Index.</t>
  </si>
  <si>
    <t>11606773</t>
  </si>
  <si>
    <t>phoenix</t>
  </si>
  <si>
    <t>https://www.glassdoor.co.uk/Overview/Working-at-Phoenix-Group-EI_IE35846.11,24.htm</t>
  </si>
  <si>
    <t>PRU</t>
  </si>
  <si>
    <t>Prudential</t>
  </si>
  <si>
    <t>Prudential plc</t>
  </si>
  <si>
    <t>PRU.L</t>
  </si>
  <si>
    <t>Prudential plc is a British multinational insurance company headquartered in London, England. It was founded in London in May 1848 to provide loans to professional and working people.</t>
  </si>
  <si>
    <t>01397169</t>
  </si>
  <si>
    <t>prudential</t>
  </si>
  <si>
    <t>Prudential (UK)</t>
  </si>
  <si>
    <t>https://www.glassdoor.co.uk/Overview/Working-at-Prudential-plc-EI_IE10215.11,25.htm</t>
  </si>
  <si>
    <t>PSH</t>
  </si>
  <si>
    <t>Pershing Square Holdings</t>
  </si>
  <si>
    <t>Pershing Square Holdings Ltd</t>
  </si>
  <si>
    <t>PSH.L</t>
  </si>
  <si>
    <t>Pershing Square Holdings is a large British investment trust dedicated to long-term investments in North American companies. Established in 2012, the company is a constituent of the FTSE 100 Index. The chairman is Anne Farlow. The fund is managed by Bill Ackman of Pershing Square Capital Management.</t>
  </si>
  <si>
    <t>pershing square</t>
  </si>
  <si>
    <t>PSN</t>
  </si>
  <si>
    <t>Persimmon</t>
  </si>
  <si>
    <t>Persimmon plc</t>
  </si>
  <si>
    <t>PSN.L</t>
  </si>
  <si>
    <t>Persimmon plc is a British housebuilding company, headquartered in York, England. The company is named after a horse which won the 1896 Derby and St. Leger for the Prince of Wales. It is listed on the London Stock Exchange and is a constituent of the FTSE 100 Index.</t>
  </si>
  <si>
    <t>01818486</t>
  </si>
  <si>
    <t>persimmon</t>
  </si>
  <si>
    <t>https://www.glassdoor.co.uk/Overview/Working-at-Persimmon-EI_IE10285.11,20.htm</t>
  </si>
  <si>
    <t>PSON</t>
  </si>
  <si>
    <t>Pearson</t>
  </si>
  <si>
    <t>Pearson plc</t>
  </si>
  <si>
    <t>PSON.L</t>
  </si>
  <si>
    <t>Pearson plc is a British multinational publishing and education company headquartered in London, England. It was founded as a construction business in the 1840s but switched to publishing in the 1920s. As of 2017, it is the largest education company, and it was once the largest book publisher in the world.</t>
  </si>
  <si>
    <t>00053723</t>
  </si>
  <si>
    <t>pearson</t>
  </si>
  <si>
    <t>https://www.glassdoor.co.uk/Overview/Working-at-Pearson-EI_IE3322.11,18.htm</t>
  </si>
  <si>
    <t>RB.</t>
  </si>
  <si>
    <t>Reckitt</t>
  </si>
  <si>
    <t>Reckitt Benckiser Group</t>
  </si>
  <si>
    <t>RKT.L</t>
  </si>
  <si>
    <t xml:space="preserve">Healthcare &amp; Pharmaceutical </t>
  </si>
  <si>
    <t>Consumer Goods</t>
  </si>
  <si>
    <t>Reckitt Benckiser Group plc, trading as Reckitt, is a British multinational consumer goods company headquartered in Slough, England. It is a producer of health, hygiene and nutrition products.</t>
  </si>
  <si>
    <t>06270876</t>
  </si>
  <si>
    <t>reckitt benckiser</t>
  </si>
  <si>
    <t>Reckitt Benckiser</t>
  </si>
  <si>
    <t>https://www.glassdoor.co.uk/Overview/Working-at-RB-EI_IE3600.11,13.htm</t>
  </si>
  <si>
    <t>RBS</t>
  </si>
  <si>
    <t>Natwest Group</t>
  </si>
  <si>
    <t>NWG.L</t>
  </si>
  <si>
    <t>NatWest Group plc is a British banking and insurance holding company, based in Edinburgh, Scotland. The group operates a wide variety of banking brands offering personal and business banking, private banking, investment banking, insurance and corporate finance.</t>
  </si>
  <si>
    <t>SC045551</t>
  </si>
  <si>
    <t>natwest, rbs, royal bank of scotland</t>
  </si>
  <si>
    <t>Royal Bank of Scotland</t>
  </si>
  <si>
    <t>https://www.glassdoor.co.uk/Overview/Working-at-Royal-Bank-of-Scotland-EI_IE10222.11,33.htm</t>
  </si>
  <si>
    <t>RDSA</t>
  </si>
  <si>
    <t>Shell</t>
  </si>
  <si>
    <t>Shell plc</t>
  </si>
  <si>
    <t>SHEL</t>
  </si>
  <si>
    <t>SHEL.L</t>
  </si>
  <si>
    <t>Mining &amp; Extraction</t>
  </si>
  <si>
    <t>Energy</t>
  </si>
  <si>
    <t>Shell plc is a British multinational oil and gas company headquartered in London, England. Shell is a public limited company with a primary listing on the London Stock Exchange and secondary listings on Euronext Amsterdam and the New York Stock Exchange.</t>
  </si>
  <si>
    <t>04366849</t>
  </si>
  <si>
    <t>shell, royal dutch shell</t>
  </si>
  <si>
    <t>Royal Dutch Shell</t>
  </si>
  <si>
    <t>https://www.glassdoor.co.uk/Overview/Working-at-Shell-EI_IE5833.11,16.htm</t>
  </si>
  <si>
    <t>REL</t>
  </si>
  <si>
    <t>Relx</t>
  </si>
  <si>
    <t>REL.L</t>
  </si>
  <si>
    <t>RELX plc is a British multinational information and analytics company headquartered in London, England. Its businesses provide scientific, technical and medical information and analytics; legal information and analytics; decision-making tools; and organise exhibitions.</t>
  </si>
  <si>
    <t>00077536</t>
  </si>
  <si>
    <t>relx</t>
  </si>
  <si>
    <t>RELX Group</t>
  </si>
  <si>
    <t>https://www.glassdoor.co.uk/Overview/Working-at-RELX-EI_IE1023378.11,15.htm</t>
  </si>
  <si>
    <t>RIO</t>
  </si>
  <si>
    <t>Rio Tinto</t>
  </si>
  <si>
    <t>RIO.L</t>
  </si>
  <si>
    <t>The Rio Tinto Company Limited was one of the founding companies of the Rio Tinto Group conglomerate, which was responsible of the exploitation of the Riotinto-Nerva mining basin in Minas de Riotinto between 1873 and 1954.</t>
  </si>
  <si>
    <t>00719885</t>
  </si>
  <si>
    <t>rio tinto</t>
  </si>
  <si>
    <t>https://www.glassdoor.co.uk/Overview/Working-at-Rio-Tinto-EI_IE6685.11,20.htm</t>
  </si>
  <si>
    <t>RMV</t>
  </si>
  <si>
    <t>Rightmove</t>
  </si>
  <si>
    <t>RMV.L</t>
  </si>
  <si>
    <t>Rightmove plc is a UK-based company which runs rightmove.co.uk, the UK's largest online real estate property portal. Rightmove is listed on the London Stock Exchange and is a constituent of the FTSE 100 Index.</t>
  </si>
  <si>
    <t>06426485</t>
  </si>
  <si>
    <t>rightmove</t>
  </si>
  <si>
    <t>https://www.glassdoor.co.uk/Overview/Working-at-Rightmove-EI_IE39764.11,20.htm</t>
  </si>
  <si>
    <t>RR.</t>
  </si>
  <si>
    <t>Rolls-Royce Holdings</t>
  </si>
  <si>
    <t>RR.L</t>
  </si>
  <si>
    <t>Rolls-Royce Holdings plc is a British multinational aerospace and defence company incorporated in February 2011. The company owns Rolls-Royce, a business established in 1904 which today designs, manufactures and distributes power systems for aviation and other industries.</t>
  </si>
  <si>
    <t>07524813</t>
  </si>
  <si>
    <t>rolls-royce, rolls royce</t>
  </si>
  <si>
    <t>Rolls-Royce</t>
  </si>
  <si>
    <t>https://www.glassdoor.co.uk/Overview/Working-at-Rolls-Royce-EI_IE3505.11,22.htm</t>
  </si>
  <si>
    <t>RS1</t>
  </si>
  <si>
    <t>RS Group</t>
  </si>
  <si>
    <t>RS Group plc</t>
  </si>
  <si>
    <t>RS1.L</t>
  </si>
  <si>
    <t>RS Group plc is a distributor of industrial and electronics products based in London, England. It is listed on the London Stock Exchange and is a constituent of the FTSE 100 Index.</t>
  </si>
  <si>
    <t>00647788</t>
  </si>
  <si>
    <t>rs group, electrocomponents</t>
  </si>
  <si>
    <t>https://www.glassdoor.co.uk/Overview/Working-at-RS-Group-EI_IE467935.11,19.htm</t>
  </si>
  <si>
    <t>RTO</t>
  </si>
  <si>
    <t>Rentokil Initial</t>
  </si>
  <si>
    <t>RTO.L</t>
  </si>
  <si>
    <t>Rentokil Initial is a British business services group based in Crawley, England. It was founded in 1925 as a pest-control business but subsequently expanded and diversified, in part through organic ...</t>
  </si>
  <si>
    <t>05393279</t>
  </si>
  <si>
    <t>rentokil</t>
  </si>
  <si>
    <t>https://www.glassdoor.co.uk/Overview/Working-at-Rentokil-Initial-EI_IE10220.11,27.htm</t>
  </si>
  <si>
    <t>SBRY</t>
  </si>
  <si>
    <t>Sainsbury's</t>
  </si>
  <si>
    <t>Sainsbury's (J)</t>
  </si>
  <si>
    <t>SBRY.L</t>
  </si>
  <si>
    <t>J Sainsbury plc, trading as Sainsbury's, is the second largest chain of supermarkets in the United Kingdom, with a 14.6% share of UK supermarket sales in September 2022.</t>
  </si>
  <si>
    <t>00185647</t>
  </si>
  <si>
    <t>sainsbury</t>
  </si>
  <si>
    <t>https://www.glassdoor.co.uk/Overview/Working-at-J-Sainsbury-EI_IE2978.11,22.htm</t>
  </si>
  <si>
    <t>SDR</t>
  </si>
  <si>
    <t>Schroders</t>
  </si>
  <si>
    <t>SDR.L</t>
  </si>
  <si>
    <t>Schroders plc is a British multinational asset management company, founded in 1804 based in London, England. The company employs over 5,000 people worldwide in 32 locations around Europe, America, Asia, Africa and the Middle East. It is traded on the London Stock Exchange and is a constituent of the FTSE 100 Index.</t>
  </si>
  <si>
    <t>03909886</t>
  </si>
  <si>
    <t>schroder</t>
  </si>
  <si>
    <t>https://www.glassdoor.co.uk/Overview/Working-at-Schroders-EI_IE10512.11,20.htm</t>
  </si>
  <si>
    <t>SGE</t>
  </si>
  <si>
    <t>Sage Group</t>
  </si>
  <si>
    <t>SGE.L</t>
  </si>
  <si>
    <t>The Sage Group plc, commonly known as Sage, is a British multinational enterprise software company based in Newcastle upon Tyne, England.</t>
  </si>
  <si>
    <t>02231246</t>
  </si>
  <si>
    <t>sage</t>
  </si>
  <si>
    <t>https://www.glassdoor.co.uk/Overview/Working-at-Sage-EI_IE1150.11,15.htm</t>
  </si>
  <si>
    <t>SGRO</t>
  </si>
  <si>
    <t>Segro</t>
  </si>
  <si>
    <t>SGRO.L</t>
  </si>
  <si>
    <t>SEGRO plc is a British property investment and development company. It develops and invests in property located in the UK and Continental Europe focusing on edge of town flexible business space. The firm switched to Real Estate Investment Trust status when REITs were introduced in the United Kingdom in January 2007.</t>
  </si>
  <si>
    <t>00167591</t>
  </si>
  <si>
    <t>segro</t>
  </si>
  <si>
    <t>https://www.glassdoor.co.uk/Overview/Working-at-SEGRO-EI_IE10232.11,16.htm</t>
  </si>
  <si>
    <t>SKG</t>
  </si>
  <si>
    <t>Smurfit Kappa</t>
  </si>
  <si>
    <t>Smurfit Kappa Group</t>
  </si>
  <si>
    <t>SKG.L</t>
  </si>
  <si>
    <t>The Smurfit Kappa Group plc is Europe's leading corrugated packaging company and one of the leading paper-based packaging companies in the world. It is listed on the London Stock Exchange and is a constituent of the FTSE 100 Index.</t>
  </si>
  <si>
    <t>smurfit</t>
  </si>
  <si>
    <t>https://www.glassdoor.co.uk/Overview/Working-at-Smurfit-Kappa-EI_IE10486.11,24.htm</t>
  </si>
  <si>
    <t>SMDS</t>
  </si>
  <si>
    <t>DS Smith</t>
  </si>
  <si>
    <t xml:space="preserve">Smith (Ds) </t>
  </si>
  <si>
    <t>SMDS.L</t>
  </si>
  <si>
    <t>DS Smith plc is a British multinational packaging business, headquartered in London, England. It is listed on the London Stock Exchange and is a constituent of the FTSE 100 Index.</t>
  </si>
  <si>
    <t>01377658</t>
  </si>
  <si>
    <t>ds smith</t>
  </si>
  <si>
    <t>https://www.glassdoor.co.uk/Overview/Working-at-DS-Smith-EI_IE10142.11,19.htm</t>
  </si>
  <si>
    <t>SMIN</t>
  </si>
  <si>
    <t>Smiths Group</t>
  </si>
  <si>
    <t>SMIN.L</t>
  </si>
  <si>
    <t>Smiths Group plc is a British, multinational, diversified engineering business headquartered in London, England. It operates in over 50 countries and employs 14,600 staff. Smiths Group has its origins in a jewellery shop, S Smith &amp; Sons, which was founded by the watchmaker and businessman Samuel Smith.</t>
  </si>
  <si>
    <t>00137013</t>
  </si>
  <si>
    <t>smiths group</t>
  </si>
  <si>
    <t>https://www.glassdoor.co.uk/Overview/Working-at-Smiths-Group-EI_IE10234.11,23.htm</t>
  </si>
  <si>
    <t>SMT</t>
  </si>
  <si>
    <t>Scottish Mortgage Investment Trust</t>
  </si>
  <si>
    <t xml:space="preserve">Scottish Mortgage Inv Tst </t>
  </si>
  <si>
    <t>SMT.L</t>
  </si>
  <si>
    <t>Scottish Mortgage Investment Trust is a publicly traded investment trust. It invests globally, looking for strong businesses with above-average returns. Scottish Mortgage is managed by Baillie Gifford &amp; Co Limited, the Edinburgh-based investment management partnership.</t>
  </si>
  <si>
    <t>SC007058</t>
  </si>
  <si>
    <t>scottish mortgage</t>
  </si>
  <si>
    <t>https://www.glassdoor.co.uk/Overview/Working-at-Baillie-Gifford-EI_IE36741.11,26.htm</t>
  </si>
  <si>
    <t>SN.</t>
  </si>
  <si>
    <t>Smith &amp; Nephew</t>
  </si>
  <si>
    <t>SN.L</t>
  </si>
  <si>
    <t>Smith &amp; Nephew plc, also known as Smith+Nephew, is a British multinational medical equipment manufacturing company headquartered in Watford, England.</t>
  </si>
  <si>
    <t>00324357</t>
  </si>
  <si>
    <t>smith &amp; nephew, smith and nephew</t>
  </si>
  <si>
    <t>https://www.glassdoor.co.uk/Overview/Working-at-Smith-and-Nephew-EI_IE10233.11,27.htm</t>
  </si>
  <si>
    <t>SPX</t>
  </si>
  <si>
    <t>Spirax-Sarco Engineering</t>
  </si>
  <si>
    <t>SPX.L</t>
  </si>
  <si>
    <t>Spirax-Sarco Engineering plc is a British manufacturer of steam management systems and peristaltic pumps and associated fluid path technologies. It is headquartered in Cheltenham, England. It is listed on the London Stock Exchange and is a constituent of the FTSE 100 Index.</t>
  </si>
  <si>
    <t>00596337</t>
  </si>
  <si>
    <t>spirax</t>
  </si>
  <si>
    <t>https://www.glassdoor.co.uk/Overview/Working-at-Spirax-Sarco-EI_IE292187.11,23.htm</t>
  </si>
  <si>
    <t>SSE</t>
  </si>
  <si>
    <t>SSE plc</t>
  </si>
  <si>
    <t>SSE.L</t>
  </si>
  <si>
    <t>SSE plc is a multinational energy company headquartered in Perth, Scotland. It is listed on the London Stock Exchange, and is a constituent of the FTSE 100 Index. SSE operates in the United Kingdom and Ireland.</t>
  </si>
  <si>
    <t>SC117119</t>
  </si>
  <si>
    <t>sse</t>
  </si>
  <si>
    <t>https://www.glassdoor.co.uk/Overview/Working-at-SSE-EI_IE8994.11,14.htm</t>
  </si>
  <si>
    <t>STAN</t>
  </si>
  <si>
    <t>Standard Chartered</t>
  </si>
  <si>
    <t>STAN.L</t>
  </si>
  <si>
    <t>Standard Chartered plc is a British multinational bank with operations in consumer, corporate and institutional banking, and treasury services. Despite being headquartered in the United Kingdom, it does not conduct retail banking in the UK, and around 90% of its profits come from Asia, Africa, and the Middle East.</t>
  </si>
  <si>
    <t>00966425</t>
  </si>
  <si>
    <t>standard chartered</t>
  </si>
  <si>
    <t>https://www.glassdoor.co.uk/Overview/Working-at-Standard-Chartered-Bank-EI_IE226853.11,34.htm</t>
  </si>
  <si>
    <t>STJ</t>
  </si>
  <si>
    <t>St. James's Place</t>
  </si>
  <si>
    <t>St. James's Place plc</t>
  </si>
  <si>
    <t>STJ.L</t>
  </si>
  <si>
    <t>St. James's Place plc, formerly St. James's Place Capital plc, is a British investment management company. The head office is in Cirencester, in Gloucestershire, and there are over twenty other offices in the United Kingdom. It is a combined adviser, fund manager and life insurance business.</t>
  </si>
  <si>
    <t>03183415</t>
  </si>
  <si>
    <t>st james's place</t>
  </si>
  <si>
    <t>https://www.glassdoor.co.uk/Overview/Working-at-St-James-s-Place-Wealth-Management-EI_IE10244.11,45.htm</t>
  </si>
  <si>
    <t>SVT</t>
  </si>
  <si>
    <t>Severn Trent</t>
  </si>
  <si>
    <t>SVT.L</t>
  </si>
  <si>
    <t>Severn Trent plc is a water company based in Coventry, England. It supplies 4.6 million households and business across the Midlands and Wales. It is traded on the London Stock Exchange and a constituent of the FTSE 100 Index.</t>
  </si>
  <si>
    <t>02366619</t>
  </si>
  <si>
    <t>severn trent</t>
  </si>
  <si>
    <t>https://www.glassdoor.co.uk/Overview/Working-at-Severn-Trent-EI_IE324366.11,23.htm</t>
  </si>
  <si>
    <t>TSCO</t>
  </si>
  <si>
    <t>Tesco</t>
  </si>
  <si>
    <t>TSCO.L</t>
  </si>
  <si>
    <t>Tesco plc is a British multinational groceries and general merchandise retailer headquartered in Welwyn Garden City, England. In 2011 it was the third-largest retailer in the world measured by gross revenues and the ninth-largest in the world measured by revenues.</t>
  </si>
  <si>
    <t>00445790</t>
  </si>
  <si>
    <t>tesco</t>
  </si>
  <si>
    <t>https://www.glassdoor.co.uk/Overview/Working-at-Tesco-EI_IE10250.11,16.htm</t>
  </si>
  <si>
    <t>TW.</t>
  </si>
  <si>
    <t>Taylor Wimpey</t>
  </si>
  <si>
    <t>TW.L</t>
  </si>
  <si>
    <t>Taylor Wimpey plc is one of the largest home construction companies in the United Kingdom. The company was created from the merger of rivals Taylor Woodrow and George Wimpey on 3 July 2007. It is listed on the London Stock Exchange and is a constituent of the FTSE 100 Index.</t>
  </si>
  <si>
    <t>00296805</t>
  </si>
  <si>
    <t>taylor wimpey</t>
  </si>
  <si>
    <t>https://www.glassdoor.co.uk/Overview/Working-at-Taylor-Wimpey-EI_IE10247.11,24.htm</t>
  </si>
  <si>
    <t>ULVR</t>
  </si>
  <si>
    <t>Unilever</t>
  </si>
  <si>
    <t>ULVR.L</t>
  </si>
  <si>
    <t>Unilever is a British multinational consumer packaged goods company headquartered in London, England.</t>
  </si>
  <si>
    <t>00041424</t>
  </si>
  <si>
    <t>unilever</t>
  </si>
  <si>
    <t>https://www.glassdoor.co.uk/Overview/Working-at-Unilever-EI_IE3513.11,19.htm</t>
  </si>
  <si>
    <t>UTG</t>
  </si>
  <si>
    <t>Unite Group</t>
  </si>
  <si>
    <t>UTG.L</t>
  </si>
  <si>
    <t>The Unite Group provides purpose built student accommodation across the United Kingdom. The company is listed on the London Stock Exchange as a constituent of the FTSE 100 Index.</t>
  </si>
  <si>
    <t>03199160</t>
  </si>
  <si>
    <t>unite group, unite students</t>
  </si>
  <si>
    <t>https://www.glassdoor.co.uk/Overview/Working-at-Unite-Group-EI_IE907962.11,22.htm</t>
  </si>
  <si>
    <t>UU.</t>
  </si>
  <si>
    <t>United Utilities</t>
  </si>
  <si>
    <t>United Utilities Group</t>
  </si>
  <si>
    <t>UU.L</t>
  </si>
  <si>
    <t>United Utilities Group plc (UU), the United Kingdom's largest listed water company, was founded in 1995 as a result of the merger of North West Water and NORWEB.[2] The group manages the regulated water and waste water network in North West England, which includes Cumbria, Greater Manchester, Lancashire, Merseyside, most of Cheshire and a small area of Derbyshire, which have a combined population of more than seven million.</t>
  </si>
  <si>
    <t>06559020</t>
  </si>
  <si>
    <t>united utilities</t>
  </si>
  <si>
    <t>https://www.glassdoor.co.uk/Overview/Working-at-United-Utilities-EI_IE7737.11,27.htm</t>
  </si>
  <si>
    <t>VOD</t>
  </si>
  <si>
    <t>Vodafone Group</t>
  </si>
  <si>
    <t>VOD.L</t>
  </si>
  <si>
    <t>Vodafone Group Plc is a British multinational telecommunications company. Its registered office and global headquarters are in Newbury, Berkshire, England. It predominantly operates services in Asia, Africa, Europe, and Oceania.</t>
  </si>
  <si>
    <t>01833679</t>
  </si>
  <si>
    <t>vodafone</t>
  </si>
  <si>
    <t>https://www.glassdoor.co.uk/Overview/Working-at-Vodafone-EI_IE5775.11,19.htm</t>
  </si>
  <si>
    <t>WEIR</t>
  </si>
  <si>
    <t>Weir Group</t>
  </si>
  <si>
    <t>WEIR.L</t>
  </si>
  <si>
    <t>The Weir Group plc is a Scottish multinational engineering company headquartered in Glasgow, Scotland. It is listed on the London Stock Exchange and is a constituent of the FTSE 100 Index.</t>
  </si>
  <si>
    <t>SC002934</t>
  </si>
  <si>
    <t>weir</t>
  </si>
  <si>
    <t>https://www.glassdoor.co.uk/Overview/Working-at-Weir-Group-EI_IE10268.11,21.htm</t>
  </si>
  <si>
    <t>WPP</t>
  </si>
  <si>
    <t>WPP plc</t>
  </si>
  <si>
    <t>WPP.L</t>
  </si>
  <si>
    <t>WPP plc is a British multinational communications, advertising, public relations, technology, and commerce holding company headquartered in London, England. It was the world's largest advertising company, as of 2019.</t>
  </si>
  <si>
    <t>08286875</t>
  </si>
  <si>
    <t>https://find-and-update.company-information.service.gov.uk/company/08286875/filing-history</t>
  </si>
  <si>
    <t>wpp</t>
  </si>
  <si>
    <t>https://www.glassdoor.co.uk/Overview/Working-at-WPP-EI_IE4035.11,14.htm</t>
  </si>
  <si>
    <t>WTB</t>
  </si>
  <si>
    <t>Whitbread</t>
  </si>
  <si>
    <t>WTB.L</t>
  </si>
  <si>
    <t>Whitbread plc is a multinational British hotel and restaurant company headquartered in Houghton Regis, England. The business was founded as a brewery in 1742, and had become the largest brewery in the world by the 1780s.</t>
  </si>
  <si>
    <t>04120344</t>
  </si>
  <si>
    <t>whitbread</t>
  </si>
  <si>
    <t>https://www.glassdoor.co.uk/Overview/Working-at-Whitbread-EI_IE10272.11,20.htm</t>
  </si>
  <si>
    <t>Company</t>
  </si>
  <si>
    <t>Ticker</t>
  </si>
  <si>
    <t>R100 sectors</t>
  </si>
  <si>
    <t>R100 industry</t>
  </si>
  <si>
    <t>R100 industries (based on FTSE wikipedias)</t>
  </si>
  <si>
    <t>Engineering &amp; Construction</t>
  </si>
  <si>
    <t>Aerospace &amp; Defence</t>
  </si>
  <si>
    <t>Financial Services</t>
  </si>
  <si>
    <t>Asset Managers</t>
  </si>
  <si>
    <t>Automobiles &amp; Parts</t>
  </si>
  <si>
    <t>Banks</t>
  </si>
  <si>
    <t>Banking</t>
  </si>
  <si>
    <t>NatWest Group</t>
  </si>
  <si>
    <t>Food &amp; Beverage</t>
  </si>
  <si>
    <t>Beverage</t>
  </si>
  <si>
    <t>Beverages</t>
  </si>
  <si>
    <t>Chemicals</t>
  </si>
  <si>
    <t>Construction</t>
  </si>
  <si>
    <t>Construction &amp; Materials</t>
  </si>
  <si>
    <t>Utilities</t>
  </si>
  <si>
    <t>Electricity</t>
  </si>
  <si>
    <t>Retail &amp; Services</t>
  </si>
  <si>
    <t>Industrials</t>
  </si>
  <si>
    <t>Electronic &amp; Electrical Equipment</t>
  </si>
  <si>
    <t>Equity Investment Instruments</t>
  </si>
  <si>
    <t>Fixed Line Telecommunications</t>
  </si>
  <si>
    <t>Food &amp; Drug Retailers</t>
  </si>
  <si>
    <t>Supermarkets</t>
  </si>
  <si>
    <t>Food Producers</t>
  </si>
  <si>
    <t>Forestry &amp; Paper</t>
  </si>
  <si>
    <t>Gas, Water &amp; Multi-utilities</t>
  </si>
  <si>
    <t>Packaging</t>
  </si>
  <si>
    <t>General Industrials</t>
  </si>
  <si>
    <t>Fashion</t>
  </si>
  <si>
    <t>General Retailers</t>
  </si>
  <si>
    <t>Medical Instruments</t>
  </si>
  <si>
    <t>Health Care</t>
  </si>
  <si>
    <t>Health Care Equipment &amp; Services</t>
  </si>
  <si>
    <t>Household Goods &amp; Home Construction</t>
  </si>
  <si>
    <t>RKT</t>
  </si>
  <si>
    <t>Industrial Engineering</t>
  </si>
  <si>
    <t>Industrial Goods and Services</t>
  </si>
  <si>
    <t>Insurance</t>
  </si>
  <si>
    <t>Life Insurance</t>
  </si>
  <si>
    <t>Media</t>
  </si>
  <si>
    <t>RELX</t>
  </si>
  <si>
    <t>Mining</t>
  </si>
  <si>
    <t>Mobile Telecommunications</t>
  </si>
  <si>
    <t>Non-life Insurance</t>
  </si>
  <si>
    <t>Oil &amp; Gas Producers</t>
  </si>
  <si>
    <t>Personal Goods</t>
  </si>
  <si>
    <t>Pharmaceuticals &amp; Biotechnology</t>
  </si>
  <si>
    <t>Pharmaceuticals</t>
  </si>
  <si>
    <t>Real Estate</t>
  </si>
  <si>
    <t>Real Estate Investment Trusts</t>
  </si>
  <si>
    <t>Retail</t>
  </si>
  <si>
    <t>Hospitality</t>
  </si>
  <si>
    <t>Retail hospitality</t>
  </si>
  <si>
    <t>Retailers</t>
  </si>
  <si>
    <t>Software &amp; Computer Services</t>
  </si>
  <si>
    <t>Support Services</t>
  </si>
  <si>
    <t>Telecommunications</t>
  </si>
  <si>
    <t>Tobacco</t>
  </si>
  <si>
    <t>Travel &amp; Leisure</t>
  </si>
  <si>
    <t>Travel</t>
  </si>
  <si>
    <t>Colour</t>
  </si>
  <si>
    <t>SDG</t>
  </si>
  <si>
    <t>To what extent are companies protecting and supporting their employees as well as the consumers of their products? This is what the Poverty &amp; Wellbeing pillar measures.</t>
  </si>
  <si>
    <t>Goal 1 - No poverty
Goal 3 - Good health &amp; wellbeing 
Goal 8 - Decent work and economic growth</t>
  </si>
  <si>
    <t>Goal 11 not assigned</t>
  </si>
  <si>
    <t>The Skills &amp; Education pillar examines what level and quality of training companies are providing to their employees - and whether they're bringing their expertise to the wider community.</t>
  </si>
  <si>
    <t xml:space="preserve">Goal 4 - Quality education
Goal 8 - Decent work and economic growth </t>
  </si>
  <si>
    <t>Are companies treating all their staff equally? The Equality pillar examines the representation of protected groups.</t>
  </si>
  <si>
    <t>Goal 5 - Gender equality
Goal 10 - Reduced inequalities</t>
  </si>
  <si>
    <t>From innovation to profit to tax, the Good Business pillar rewards companies for delivering on the core societal benefits of business.</t>
  </si>
  <si>
    <t>Goal 2 - Zero hunger
Goal 8 - Decent work and economic growth
Goal 9 - Industry, innovation and infrastructure
Goal 12 - Responsible consumption and production</t>
  </si>
  <si>
    <t>The Climate pillar focuses on the environmental impact of a company's operations, looking at emissions, water use and waste.</t>
  </si>
  <si>
    <t>Goal 6 - Clean water and sanitation
Goal 7 - Affordable and clean energy
Goal 13 - Climate action
Goal 14 - Life below water
Goal 15 - Life on land</t>
  </si>
  <si>
    <t>A company's biggest offences in the eyes of regulators and the courts are reflected in the Justice pillar.</t>
  </si>
  <si>
    <t>Goal 5 - Gender equality
Goal 10 - Reduced inequalities
Goal 16 - Peace, justice and strong institutions</t>
  </si>
  <si>
    <t>General information on a company.</t>
  </si>
  <si>
    <t>N/A</t>
  </si>
  <si>
    <t>We collect data on targets as part of the talk pillar. The text of the targets we found can be found in the annex.</t>
  </si>
  <si>
    <t>Goal 17 - Partnerships for the goals</t>
  </si>
  <si>
    <t>The Talk pillar measures how loudly companies are talking about responsibility, asking the question: What kind of commitments are companies making? Below are all of the membership metrics that feed into the talk score.</t>
  </si>
  <si>
    <t xml:space="preserve">Goal 16 - Peace, justice and strong institutions
Goal 17 - Partnerships for the goals </t>
  </si>
  <si>
    <t>Modern Slavery</t>
  </si>
  <si>
    <t>Our Modern Slavery indicators feed into our Modern Slavery Score - a measure of a company's commitment to preventing, discovering and handling incidence of modern slavery, both operationally and along the supply chain.</t>
  </si>
  <si>
    <t>description</t>
  </si>
  <si>
    <t>Which target indicators?</t>
  </si>
  <si>
    <t xml:space="preserve">Number of targets relating to Climate </t>
  </si>
  <si>
    <t xml:space="preserve">T021,T022, T023, T024, T030, T031, T032, T033, T045, T047, T048, T049, T050, T053, T100
</t>
  </si>
  <si>
    <t>Number of targets relating to equality</t>
  </si>
  <si>
    <t>T034, T035, T036, T037, T101</t>
  </si>
  <si>
    <t xml:space="preserve">Number of targets relating to poverty and wellbeing </t>
  </si>
  <si>
    <t>T038, T040, T102</t>
  </si>
  <si>
    <t>Number of targets relating to justice</t>
  </si>
  <si>
    <t>T044, T052, T054, T103</t>
  </si>
  <si>
    <t>Number of targets relating to Skills</t>
  </si>
  <si>
    <t>T042, T055, T104</t>
  </si>
  <si>
    <t>Number of targets relating to Good Business</t>
  </si>
  <si>
    <t>T039, T041, T043, T046, T051, T105</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</si>
</sst>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font>
    <font>
      <color theme="1"/>
      <name val="Arial"/>
    </font>
    <font>
      <color theme="1"/>
      <name val="Roboto"/>
    </font>
    <font>
      <b/>
      <color theme="0"/>
      <name val="Arial"/>
      <scheme val="minor"/>
    </font>
    <font>
      <b/>
      <color rgb="FFFFFFFF"/>
      <name val="Arial"/>
      <scheme val="minor"/>
    </font>
    <font>
      <color rgb="FF000000"/>
      <name val="Arial"/>
      <scheme val="minor"/>
    </font>
    <font>
      <color theme="1"/>
      <name val="Arial"/>
      <scheme val="minor"/>
    </font>
    <font>
      <u/>
      <color rgb="FF0000FF"/>
    </font>
    <font>
      <sz val="11.0"/>
      <color rgb="FF000000"/>
      <name val="Arial"/>
      <scheme val="minor"/>
    </font>
    <font>
      <u/>
      <color rgb="FF1155CC"/>
    </font>
    <font>
      <sz val="10.0"/>
      <color rgb="FF000000"/>
      <name val="Arial"/>
    </font>
    <font>
      <color rgb="FF000000"/>
      <name val="Arial"/>
    </font>
    <font>
      <b/>
      <color rgb="FFFFFFFF"/>
      <name val="Arial"/>
    </font>
    <font>
      <u/>
      <color rgb="FF0000FF"/>
    </font>
    <font>
      <u/>
      <color rgb="FF0000FF"/>
    </font>
    <font>
      <u/>
      <color rgb="FF0000FF"/>
    </font>
    <font>
      <b/>
      <sz val="10.0"/>
      <color rgb="FFFFFFFF"/>
      <name val="Arial"/>
      <scheme val="minor"/>
    </font>
    <font>
      <sz val="10.0"/>
      <color theme="1"/>
      <name val="Arial"/>
      <scheme val="minor"/>
    </font>
    <font>
      <b/>
      <color theme="1"/>
      <name val="Arial"/>
      <scheme val="minor"/>
    </font>
    <font>
      <b/>
      <color rgb="FF000000"/>
      <name val="Arial"/>
      <scheme val="minor"/>
    </font>
    <font>
      <color rgb="FF000000"/>
      <name val="Roboto"/>
    </font>
  </fonts>
  <fills count="6">
    <fill>
      <patternFill patternType="none"/>
    </fill>
    <fill>
      <patternFill patternType="lightGray"/>
    </fill>
    <fill>
      <patternFill patternType="solid">
        <fgColor rgb="FFFFFFFF"/>
        <bgColor rgb="FFFFFFFF"/>
      </patternFill>
    </fill>
    <fill>
      <patternFill patternType="solid">
        <fgColor rgb="FF006666"/>
        <bgColor rgb="FF006666"/>
      </patternFill>
    </fill>
    <fill>
      <patternFill patternType="solid">
        <fgColor theme="0"/>
        <bgColor theme="0"/>
      </patternFill>
    </fill>
    <fill>
      <patternFill patternType="solid">
        <fgColor rgb="FFFFFF00"/>
        <bgColor rgb="FFFFFF00"/>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0"/>
    </xf>
    <xf borderId="0" fillId="0" fontId="2" numFmtId="49" xfId="0" applyAlignment="1" applyFont="1" applyNumberFormat="1">
      <alignment shrinkToFit="0" vertical="top" wrapText="0"/>
    </xf>
    <xf borderId="0" fillId="2" fontId="3" numFmtId="0" xfId="0" applyAlignment="1" applyFill="1" applyFont="1">
      <alignment vertical="bottom"/>
    </xf>
    <xf borderId="0" fillId="0" fontId="2" numFmtId="0" xfId="0" applyAlignment="1" applyFont="1">
      <alignment vertical="top"/>
    </xf>
    <xf borderId="0" fillId="0" fontId="2" numFmtId="0" xfId="0" applyAlignment="1" applyFont="1">
      <alignment vertical="bottom"/>
    </xf>
    <xf borderId="0" fillId="3" fontId="4" numFmtId="0" xfId="0" applyAlignment="1" applyFill="1" applyFont="1">
      <alignment horizontal="left" readingOrder="0" shrinkToFit="0" vertical="bottom" wrapText="0"/>
    </xf>
    <xf borderId="0" fillId="3" fontId="5" numFmtId="0" xfId="0" applyAlignment="1" applyFont="1">
      <alignment horizontal="left" readingOrder="0" shrinkToFit="0" vertical="bottom" wrapText="0"/>
    </xf>
    <xf borderId="0" fillId="4" fontId="4" numFmtId="0" xfId="0" applyAlignment="1" applyFill="1" applyFont="1">
      <alignment horizontal="left" readingOrder="0" shrinkToFit="0" vertical="bottom" wrapText="0"/>
    </xf>
    <xf borderId="0" fillId="0" fontId="6" numFmtId="0" xfId="0" applyAlignment="1" applyFont="1">
      <alignment horizontal="left" readingOrder="0" shrinkToFit="0" vertical="bottom" wrapText="0"/>
    </xf>
    <xf borderId="0" fillId="0" fontId="7" numFmtId="0" xfId="0" applyAlignment="1" applyFont="1">
      <alignment horizontal="left" readingOrder="0" shrinkToFit="0" vertical="bottom" wrapText="0"/>
    </xf>
    <xf borderId="0" fillId="0" fontId="7" numFmtId="49" xfId="0" applyAlignment="1" applyFont="1" applyNumberFormat="1">
      <alignment horizontal="left" readingOrder="0" shrinkToFit="0" vertical="bottom" wrapText="0"/>
    </xf>
    <xf borderId="0" fillId="0" fontId="8" numFmtId="0" xfId="0" applyAlignment="1" applyFont="1">
      <alignment horizontal="left" readingOrder="0" shrinkToFit="0" vertical="bottom" wrapText="0"/>
    </xf>
    <xf borderId="0" fillId="0" fontId="9" numFmtId="0" xfId="0" applyAlignment="1" applyFont="1">
      <alignment horizontal="left" readingOrder="0" shrinkToFit="0" vertical="bottom" wrapText="0"/>
    </xf>
    <xf borderId="0" fillId="0" fontId="0" numFmtId="0" xfId="0" applyAlignment="1" applyFont="1">
      <alignment horizontal="left" readingOrder="0" shrinkToFit="0" vertical="bottom" wrapText="0"/>
    </xf>
    <xf borderId="0" fillId="0" fontId="10" numFmtId="0" xfId="0" applyAlignment="1" applyFont="1">
      <alignment horizontal="left" readingOrder="0" shrinkToFit="0" vertical="bottom" wrapText="0"/>
    </xf>
    <xf borderId="0" fillId="0" fontId="11" numFmtId="0" xfId="0" applyAlignment="1" applyFont="1">
      <alignment horizontal="left" readingOrder="0" shrinkToFit="0" vertical="bottom" wrapText="0"/>
    </xf>
    <xf borderId="0" fillId="0" fontId="6" numFmtId="0" xfId="0" applyAlignment="1" applyFont="1">
      <alignment horizontal="left" readingOrder="0" shrinkToFit="0" vertical="bottom" wrapText="0"/>
    </xf>
    <xf borderId="0" fillId="0" fontId="12" numFmtId="0" xfId="0" applyAlignment="1" applyFont="1">
      <alignment horizontal="left" readingOrder="0"/>
    </xf>
    <xf borderId="0" fillId="0" fontId="7" numFmtId="0" xfId="0" applyAlignment="1" applyFont="1">
      <alignment horizontal="left" readingOrder="0" shrinkToFit="0" vertical="bottom" wrapText="0"/>
    </xf>
    <xf borderId="0" fillId="0" fontId="7" numFmtId="0" xfId="0" applyAlignment="1" applyFont="1">
      <alignment readingOrder="0"/>
    </xf>
    <xf borderId="0" fillId="0" fontId="6" numFmtId="0" xfId="0" applyAlignment="1" applyFont="1">
      <alignment horizontal="left" shrinkToFit="0" vertical="bottom" wrapText="0"/>
    </xf>
    <xf borderId="0" fillId="0" fontId="7" numFmtId="0" xfId="0" applyAlignment="1" applyFont="1">
      <alignment horizontal="left" shrinkToFit="0" vertical="bottom" wrapText="0"/>
    </xf>
    <xf borderId="0" fillId="0" fontId="6" numFmtId="0" xfId="0" applyAlignment="1" applyFont="1">
      <alignment horizontal="left" shrinkToFit="0" vertical="bottom" wrapText="0"/>
    </xf>
    <xf borderId="0" fillId="0" fontId="7" numFmtId="0" xfId="0" applyAlignment="1" applyFont="1">
      <alignment horizontal="left" shrinkToFit="0" vertical="bottom" wrapText="0"/>
    </xf>
    <xf borderId="0" fillId="0" fontId="12" numFmtId="0" xfId="0" applyAlignment="1" applyFont="1">
      <alignment horizontal="left" readingOrder="0" shrinkToFit="0" vertical="bottom" wrapText="0"/>
    </xf>
    <xf borderId="0" fillId="3" fontId="5" numFmtId="0" xfId="0" applyAlignment="1" applyFont="1">
      <alignment horizontal="left" readingOrder="0"/>
    </xf>
    <xf borderId="0" fillId="3" fontId="13" numFmtId="0" xfId="0" applyAlignment="1" applyFont="1">
      <alignment horizontal="left" readingOrder="0" vertical="bottom"/>
    </xf>
    <xf borderId="0" fillId="3" fontId="13" numFmtId="0" xfId="0" applyAlignment="1" applyFont="1">
      <alignment horizontal="left" readingOrder="0" shrinkToFit="0" vertical="bottom" wrapText="0"/>
    </xf>
    <xf borderId="0" fillId="3" fontId="5" numFmtId="0" xfId="0" applyAlignment="1" applyFont="1">
      <alignment horizontal="left" readingOrder="0" shrinkToFit="0" wrapText="0"/>
    </xf>
    <xf borderId="0" fillId="0" fontId="7" numFmtId="0" xfId="0" applyFont="1"/>
    <xf borderId="0" fillId="0" fontId="7" numFmtId="0" xfId="0" applyAlignment="1" applyFont="1">
      <alignment horizontal="left" readingOrder="0"/>
    </xf>
    <xf borderId="0" fillId="0" fontId="14" numFmtId="0" xfId="0" applyAlignment="1" applyFont="1">
      <alignment horizontal="left" readingOrder="0"/>
    </xf>
    <xf borderId="0" fillId="0" fontId="15" numFmtId="0" xfId="0" applyAlignment="1" applyFont="1">
      <alignment readingOrder="0" shrinkToFit="0" wrapText="0"/>
    </xf>
    <xf borderId="0" fillId="0" fontId="7" numFmtId="49" xfId="0" applyAlignment="1" applyFont="1" applyNumberFormat="1">
      <alignment horizontal="left" readingOrder="0"/>
    </xf>
    <xf borderId="0" fillId="0" fontId="7" numFmtId="0" xfId="0" applyAlignment="1" applyFont="1">
      <alignment readingOrder="0" shrinkToFit="0" wrapText="0"/>
    </xf>
    <xf borderId="0" fillId="0" fontId="7" numFmtId="0" xfId="0" applyAlignment="1" applyFont="1">
      <alignment readingOrder="0" shrinkToFit="0" wrapText="1"/>
    </xf>
    <xf borderId="0" fillId="0" fontId="16" numFmtId="0" xfId="0" applyAlignment="1" applyFont="1">
      <alignment horizontal="left" readingOrder="0"/>
    </xf>
    <xf borderId="0" fillId="3" fontId="5" numFmtId="0" xfId="0" applyAlignment="1" applyFont="1">
      <alignment readingOrder="0" shrinkToFit="0" wrapText="1"/>
    </xf>
    <xf borderId="0" fillId="0" fontId="7" numFmtId="0" xfId="0" applyAlignment="1" applyFont="1">
      <alignment shrinkToFit="0" wrapText="1"/>
    </xf>
    <xf borderId="0" fillId="3" fontId="17" numFmtId="0" xfId="0" applyAlignment="1" applyFont="1">
      <alignment readingOrder="0" shrinkToFit="0" vertical="bottom" wrapText="0"/>
    </xf>
    <xf borderId="0" fillId="3" fontId="17" numFmtId="0" xfId="0" applyAlignment="1" applyFont="1">
      <alignment readingOrder="0" shrinkToFit="0" wrapText="0"/>
    </xf>
    <xf borderId="0" fillId="3" fontId="17" numFmtId="0" xfId="0" applyFont="1"/>
    <xf borderId="0" fillId="0" fontId="0" numFmtId="0" xfId="0" applyAlignment="1" applyFont="1">
      <alignment readingOrder="0" shrinkToFit="0" vertical="bottom" wrapText="0"/>
    </xf>
    <xf borderId="0" fillId="0" fontId="0" numFmtId="0" xfId="0" applyAlignment="1" applyFont="1">
      <alignment readingOrder="0" shrinkToFit="0" vertical="bottom" wrapText="1"/>
    </xf>
    <xf borderId="0" fillId="0" fontId="18" numFmtId="0" xfId="0" applyAlignment="1" applyFont="1">
      <alignment shrinkToFit="0" wrapText="0"/>
    </xf>
    <xf borderId="0" fillId="0" fontId="18" numFmtId="0" xfId="0" applyAlignment="1" applyFont="1">
      <alignment readingOrder="0" shrinkToFit="0" wrapText="0"/>
    </xf>
    <xf borderId="0" fillId="0" fontId="18" numFmtId="0" xfId="0" applyAlignment="1" applyFont="1">
      <alignment readingOrder="0"/>
    </xf>
    <xf borderId="0" fillId="0" fontId="18" numFmtId="0" xfId="0" applyFont="1"/>
    <xf borderId="0" fillId="2" fontId="0" numFmtId="0" xfId="0" applyAlignment="1" applyFont="1">
      <alignment horizontal="left" readingOrder="0"/>
    </xf>
    <xf borderId="0" fillId="0" fontId="0" numFmtId="0" xfId="0" applyAlignment="1" applyFont="1">
      <alignment readingOrder="0" shrinkToFit="0" vertical="bottom" wrapText="0"/>
    </xf>
    <xf borderId="0" fillId="0" fontId="19" numFmtId="0" xfId="0" applyAlignment="1" applyFont="1">
      <alignment readingOrder="0"/>
    </xf>
    <xf borderId="0" fillId="2" fontId="2" numFmtId="0" xfId="0" applyAlignment="1" applyFont="1">
      <alignment shrinkToFit="0" vertical="top" wrapText="1"/>
    </xf>
    <xf borderId="0" fillId="5" fontId="2" numFmtId="0" xfId="0" applyAlignment="1" applyFill="1" applyFont="1">
      <alignment readingOrder="0" vertical="bottom"/>
    </xf>
    <xf borderId="0" fillId="0" fontId="2" numFmtId="0" xfId="0" applyAlignment="1" applyFont="1">
      <alignment readingOrder="0" vertical="top"/>
    </xf>
    <xf borderId="0" fillId="5" fontId="6" numFmtId="0" xfId="0" applyAlignment="1" applyFont="1">
      <alignment horizontal="left" readingOrder="0" shrinkToFit="0" vertical="top" wrapText="0"/>
    </xf>
    <xf borderId="0" fillId="2" fontId="12" numFmtId="0" xfId="0" applyAlignment="1" applyFont="1">
      <alignment horizontal="left" readingOrder="0"/>
    </xf>
    <xf borderId="0" fillId="0" fontId="19"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7" numFmtId="0" xfId="0" applyAlignment="1" applyFont="1">
      <alignment horizontal="left" readingOrder="0" shrinkToFit="0" vertical="top" wrapText="0"/>
    </xf>
    <xf borderId="0" fillId="0" fontId="6" numFmtId="0" xfId="0" applyAlignment="1" applyFont="1">
      <alignment horizontal="left" readingOrder="0" shrinkToFit="0" vertical="top" wrapText="0"/>
    </xf>
    <xf borderId="0" fillId="0" fontId="7" numFmtId="49" xfId="0" applyAlignment="1" applyFont="1" applyNumberFormat="1">
      <alignment horizontal="left" readingOrder="0" shrinkToFit="0" vertical="top" wrapText="0"/>
    </xf>
    <xf borderId="0" fillId="2"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livingwage.org.uk/" TargetMode="External"/><Relationship Id="rId11" Type="http://schemas.openxmlformats.org/officeDocument/2006/relationships/hyperlink" Target="https://www.glassdoor.co.uk/index.htm" TargetMode="External"/><Relationship Id="rId22" Type="http://schemas.openxmlformats.org/officeDocument/2006/relationships/hyperlink" Target="https://check-payment-practices.service.gov.uk/search" TargetMode="External"/><Relationship Id="rId10" Type="http://schemas.openxmlformats.org/officeDocument/2006/relationships/hyperlink" Target="https://www.glassdoor.co.uk/index.htm" TargetMode="External"/><Relationship Id="rId21" Type="http://schemas.openxmlformats.org/officeDocument/2006/relationships/hyperlink" Target="https://check-payment-practices.service.gov.uk/search" TargetMode="External"/><Relationship Id="rId13" Type="http://schemas.openxmlformats.org/officeDocument/2006/relationships/hyperlink" Target="http://gov.uk/" TargetMode="External"/><Relationship Id="rId12" Type="http://schemas.openxmlformats.org/officeDocument/2006/relationships/hyperlink" Target="https://docs.google.com/spreadsheets/d/1pFxv18Kp2d0EmS6BA4wrlqL_gsbwE8W0h-FLYPWFFog/edit" TargetMode="External"/><Relationship Id="rId23" Type="http://schemas.openxmlformats.org/officeDocument/2006/relationships/drawing" Target="../drawings/drawing2.xml"/><Relationship Id="rId1" Type="http://schemas.openxmlformats.org/officeDocument/2006/relationships/hyperlink" Target="https://www.cdp.net/en/companies/companies-scores" TargetMode="External"/><Relationship Id="rId2" Type="http://schemas.openxmlformats.org/officeDocument/2006/relationships/hyperlink" Target="https://www.cdp.net/en/companies/companies-scores" TargetMode="External"/><Relationship Id="rId3" Type="http://schemas.openxmlformats.org/officeDocument/2006/relationships/hyperlink" Target="https://www.cdp.net/en/companies/companies-scores" TargetMode="External"/><Relationship Id="rId4" Type="http://schemas.openxmlformats.org/officeDocument/2006/relationships/hyperlink" Target="http://gov.uk/" TargetMode="External"/><Relationship Id="rId9" Type="http://schemas.openxmlformats.org/officeDocument/2006/relationships/hyperlink" Target="https://www.glassdoor.co.uk/index.htm" TargetMode="External"/><Relationship Id="rId15" Type="http://schemas.openxmlformats.org/officeDocument/2006/relationships/hyperlink" Target="http://there100.org/" TargetMode="External"/><Relationship Id="rId14" Type="http://schemas.openxmlformats.org/officeDocument/2006/relationships/hyperlink" Target="http://anitab.org/" TargetMode="External"/><Relationship Id="rId17" Type="http://schemas.openxmlformats.org/officeDocument/2006/relationships/hyperlink" Target="https://www.smallbusinesscommissioner.gov.uk/ppc/signatories/?signatory=a" TargetMode="External"/><Relationship Id="rId16" Type="http://schemas.openxmlformats.org/officeDocument/2006/relationships/hyperlink" Target="https://www.bitc.org.uk/race-at-work-charter-signatories/" TargetMode="External"/><Relationship Id="rId5" Type="http://schemas.openxmlformats.org/officeDocument/2006/relationships/hyperlink" Target="http://gov.uk/" TargetMode="External"/><Relationship Id="rId19" Type="http://schemas.openxmlformats.org/officeDocument/2006/relationships/hyperlink" Target="https://www.livingwage.org.uk/" TargetMode="External"/><Relationship Id="rId6" Type="http://schemas.openxmlformats.org/officeDocument/2006/relationships/hyperlink" Target="https://docs.google.com/spreadsheets/d/1pFxv18Kp2d0EmS6BA4wrlqL_gsbwE8W0h-FLYPWFFog/edit" TargetMode="External"/><Relationship Id="rId18" Type="http://schemas.openxmlformats.org/officeDocument/2006/relationships/hyperlink" Target="https://docs.google.com/spreadsheets/d/1pFxv18Kp2d0EmS6BA4wrlqL_gsbwE8W0h-FLYPWFFog/edit" TargetMode="External"/><Relationship Id="rId7" Type="http://schemas.openxmlformats.org/officeDocument/2006/relationships/hyperlink" Target="https://docs.google.com/spreadsheets/d/1pFxv18Kp2d0EmS6BA4wrlqL_gsbwE8W0h-FLYPWFFog/edit" TargetMode="External"/><Relationship Id="rId8" Type="http://schemas.openxmlformats.org/officeDocument/2006/relationships/hyperlink" Target="https://fairtaxmark.net/accredited-organisation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lassdoor.co.uk/Overview/Working-at-Hargreaves-Lansdown-EI_IE100339.11,30.htm" TargetMode="External"/><Relationship Id="rId42" Type="http://schemas.openxmlformats.org/officeDocument/2006/relationships/hyperlink" Target="https://www.glassdoor.co.uk/Overview/Working-at-Haleon-EI_IE7672306.11,17.htm" TargetMode="External"/><Relationship Id="rId41" Type="http://schemas.openxmlformats.org/officeDocument/2006/relationships/hyperlink" Target="https://www.glassdoor.co.uk/Overview/Working-at-Halma-EI_IE10162.11,16.htm" TargetMode="External"/><Relationship Id="rId44" Type="http://schemas.openxmlformats.org/officeDocument/2006/relationships/hyperlink" Target="https://www.glassdoor.co.uk/Overview/Working-at-Hiscox-EI_IE18106.11,17.htm" TargetMode="External"/><Relationship Id="rId43" Type="http://schemas.openxmlformats.org/officeDocument/2006/relationships/hyperlink" Target="https://www.glassdoor.co.uk/Overview/Working-at-HSBC-Holdings-EI_IE3482.11,24.htm" TargetMode="External"/><Relationship Id="rId46" Type="http://schemas.openxmlformats.org/officeDocument/2006/relationships/hyperlink" Target="https://www.glassdoor.co.uk/Overview/Working-at-InterContinental-Hotels-Group-EI_IE4232.11,40.htm" TargetMode="External"/><Relationship Id="rId45" Type="http://schemas.openxmlformats.org/officeDocument/2006/relationships/hyperlink" Target="https://www.glassdoor.co.uk/Overview/Working-at-International-Airlines-Group-EI_IE823718.11,39.htm" TargetMode="External"/><Relationship Id="rId48" Type="http://schemas.openxmlformats.org/officeDocument/2006/relationships/hyperlink" Target="https://www.glassdoor.co.uk/Overview/Working-at-Imperial-Brands-EI_IE6425.11,26.htm" TargetMode="External"/><Relationship Id="rId47" Type="http://schemas.openxmlformats.org/officeDocument/2006/relationships/hyperlink" Target="https://www.glassdoor.co.uk/Overview/Working-at-3i-Group-EI_IE5365.11,19.htm" TargetMode="External"/><Relationship Id="rId49" Type="http://schemas.openxmlformats.org/officeDocument/2006/relationships/hyperlink" Target="https://www.glassdoor.co.uk/Overview/Working-at-Informa-EI_IE9185.11,18.htm" TargetMode="External"/><Relationship Id="rId101" Type="http://schemas.openxmlformats.org/officeDocument/2006/relationships/drawing" Target="../drawings/drawing3.xml"/><Relationship Id="rId100" Type="http://schemas.openxmlformats.org/officeDocument/2006/relationships/hyperlink" Target="https://www.glassdoor.co.uk/Overview/Working-at-Whitbread-EI_IE10272.11,20.htm" TargetMode="External"/><Relationship Id="rId31" Type="http://schemas.openxmlformats.org/officeDocument/2006/relationships/hyperlink" Target="https://www.glassdoor.co.uk/Overview/Working-at-Endeavour-EI_IE1453795.11,20.htm" TargetMode="External"/><Relationship Id="rId30" Type="http://schemas.openxmlformats.org/officeDocument/2006/relationships/hyperlink" Target="https://www.glassdoor.co.uk/Overview/Working-at-Diageo-EI_IE7438.11,17.htm" TargetMode="External"/><Relationship Id="rId33" Type="http://schemas.openxmlformats.org/officeDocument/2006/relationships/hyperlink" Target="https://www.glassdoor.co.uk/Overview/Working-at-F-and-C-Asset-Management-EI_IE13299.11,35.htm" TargetMode="External"/><Relationship Id="rId32" Type="http://schemas.openxmlformats.org/officeDocument/2006/relationships/hyperlink" Target="https://www.glassdoor.co.uk/Overview/Working-at-Experian-EI_IE42406.11,19.htm" TargetMode="External"/><Relationship Id="rId35" Type="http://schemas.openxmlformats.org/officeDocument/2006/relationships/hyperlink" Target="https://www.glassdoor.co.uk/Overview/Working-at-Frasers-Group-EI_IE3870826.11,24.htm" TargetMode="External"/><Relationship Id="rId34" Type="http://schemas.openxmlformats.org/officeDocument/2006/relationships/hyperlink" Target="https://www.glassdoor.co.uk/Overview/Working-at-Paddy-Power-Betfair-EI_IE100546.11,30.htm" TargetMode="External"/><Relationship Id="rId37" Type="http://schemas.openxmlformats.org/officeDocument/2006/relationships/hyperlink" Target="https://www.glassdoor.co.uk/Overview/Working-at-Glencore-EI_IE12231.11,19.htm" TargetMode="External"/><Relationship Id="rId36" Type="http://schemas.openxmlformats.org/officeDocument/2006/relationships/hyperlink" Target="https://www.glassdoor.co.uk/Overview/Working-at-Fresnillo-EI_IE157136.11,20.htm" TargetMode="External"/><Relationship Id="rId39" Type="http://schemas.openxmlformats.org/officeDocument/2006/relationships/hyperlink" Target="https://www.glassdoor.co.uk/Overview/Working-at-GVC-Group-EI_IE341832.11,20.htm" TargetMode="External"/><Relationship Id="rId38" Type="http://schemas.openxmlformats.org/officeDocument/2006/relationships/hyperlink" Target="https://www.glassdoor.co.uk/Overview/Working-at-GlaxoSmithKline-EI_IE3477.11,26.htm" TargetMode="External"/><Relationship Id="rId20" Type="http://schemas.openxmlformats.org/officeDocument/2006/relationships/hyperlink" Target="https://www.glassdoor.co.uk/Overview/Working-at-BP-EI_IE9011.11,13.htm" TargetMode="External"/><Relationship Id="rId22" Type="http://schemas.openxmlformats.org/officeDocument/2006/relationships/hyperlink" Target="https://www.glassdoor.co.uk/Overview/Working-at-BT-EI_IE3463.11,13.htm" TargetMode="External"/><Relationship Id="rId21" Type="http://schemas.openxmlformats.org/officeDocument/2006/relationships/hyperlink" Target="https://www.glassdoor.co.uk/Overview/Working-at-Burberry-EI_IE13011.11,19.htm" TargetMode="External"/><Relationship Id="rId24" Type="http://schemas.openxmlformats.org/officeDocument/2006/relationships/hyperlink" Target="https://www.glassdoor.co.uk/Overview/Working-at-Centrica-EI_IE6731.11,19.htm" TargetMode="External"/><Relationship Id="rId23" Type="http://schemas.openxmlformats.org/officeDocument/2006/relationships/hyperlink" Target="https://www.glassdoor.co.uk/Overview/Working-at-Coca-Cola-HBC-EI_IE10550.11,24.htm" TargetMode="External"/><Relationship Id="rId26" Type="http://schemas.openxmlformats.org/officeDocument/2006/relationships/hyperlink" Target="https://www.glassdoor.co.uk/Overview/Working-at-Croda-EI_IE10140.11,16.htm" TargetMode="External"/><Relationship Id="rId25" Type="http://schemas.openxmlformats.org/officeDocument/2006/relationships/hyperlink" Target="https://www.glassdoor.co.uk/Overview/Working-at-Compass-Group-EI_IE10832.11,24.htm" TargetMode="External"/><Relationship Id="rId28" Type="http://schemas.openxmlformats.org/officeDocument/2006/relationships/hyperlink" Target="https://www.glassdoor.co.uk/Overview/Working-at-ConvaTec-EI_IE13863.11,19.htm" TargetMode="External"/><Relationship Id="rId27" Type="http://schemas.openxmlformats.org/officeDocument/2006/relationships/hyperlink" Target="https://www.glassdoor.co.uk/Overview/Working-at-CRH-EI_IE10480.11,14.htm" TargetMode="External"/><Relationship Id="rId29" Type="http://schemas.openxmlformats.org/officeDocument/2006/relationships/hyperlink" Target="https://www.glassdoor.co.uk/Overview/Working-at-DCC-EI_IE12649.11,14.htm" TargetMode="External"/><Relationship Id="rId95" Type="http://schemas.openxmlformats.org/officeDocument/2006/relationships/hyperlink" Target="https://www.glassdoor.co.uk/Overview/Working-at-United-Utilities-EI_IE7737.11,27.htm" TargetMode="External"/><Relationship Id="rId94" Type="http://schemas.openxmlformats.org/officeDocument/2006/relationships/hyperlink" Target="https://www.glassdoor.co.uk/Overview/Working-at-Unite-Group-EI_IE907962.11,22.htm" TargetMode="External"/><Relationship Id="rId97" Type="http://schemas.openxmlformats.org/officeDocument/2006/relationships/hyperlink" Target="https://www.glassdoor.co.uk/Overview/Working-at-Weir-Group-EI_IE10268.11,21.htm" TargetMode="External"/><Relationship Id="rId96" Type="http://schemas.openxmlformats.org/officeDocument/2006/relationships/hyperlink" Target="https://www.glassdoor.co.uk/Overview/Working-at-Vodafone-EI_IE5775.11,19.htm" TargetMode="External"/><Relationship Id="rId11" Type="http://schemas.openxmlformats.org/officeDocument/2006/relationships/hyperlink" Target="https://www.glassdoor.co.uk/Overview/Working-at-BAE-Systems-EI_IE1653490.11,22.htm" TargetMode="External"/><Relationship Id="rId99" Type="http://schemas.openxmlformats.org/officeDocument/2006/relationships/hyperlink" Target="https://www.glassdoor.co.uk/Overview/Working-at-WPP-EI_IE4035.11,14.htm" TargetMode="External"/><Relationship Id="rId10" Type="http://schemas.openxmlformats.org/officeDocument/2006/relationships/hyperlink" Target="https://www.glassdoor.co.uk/Overview/Working-at-AstraZeneca-EI_IE9214.11,22.htm" TargetMode="External"/><Relationship Id="rId98" Type="http://schemas.openxmlformats.org/officeDocument/2006/relationships/hyperlink" Target="https://find-and-update.company-information.service.gov.uk/company/08286875/filing-history" TargetMode="External"/><Relationship Id="rId13" Type="http://schemas.openxmlformats.org/officeDocument/2006/relationships/hyperlink" Target="https://www.glassdoor.co.uk/Overview/Working-at-British-American-Tobacco-EI_IE8378.11,35.htm" TargetMode="External"/><Relationship Id="rId12" Type="http://schemas.openxmlformats.org/officeDocument/2006/relationships/hyperlink" Target="https://www.glassdoor.co.uk/Overview/Working-at-Barclays-EI_IE3456.11,19.htm" TargetMode="External"/><Relationship Id="rId91" Type="http://schemas.openxmlformats.org/officeDocument/2006/relationships/hyperlink" Target="https://www.glassdoor.co.uk/Overview/Working-at-Tesco-EI_IE10250.11,16.htm" TargetMode="External"/><Relationship Id="rId90" Type="http://schemas.openxmlformats.org/officeDocument/2006/relationships/hyperlink" Target="https://www.glassdoor.co.uk/Overview/Working-at-Severn-Trent-EI_IE324366.11,23.htm" TargetMode="External"/><Relationship Id="rId93" Type="http://schemas.openxmlformats.org/officeDocument/2006/relationships/hyperlink" Target="https://www.glassdoor.co.uk/Overview/Working-at-Unilever-EI_IE3513.11,19.htm" TargetMode="External"/><Relationship Id="rId92" Type="http://schemas.openxmlformats.org/officeDocument/2006/relationships/hyperlink" Target="https://www.glassdoor.co.uk/Overview/Working-at-Taylor-Wimpey-EI_IE10247.11,24.htm" TargetMode="External"/><Relationship Id="rId15" Type="http://schemas.openxmlformats.org/officeDocument/2006/relationships/hyperlink" Target="https://www.glassdoor.co.uk/Overview/Working-at-Beazley-Group-EI_IE24586.11,24.htm" TargetMode="External"/><Relationship Id="rId14" Type="http://schemas.openxmlformats.org/officeDocument/2006/relationships/hyperlink" Target="https://www.glassdoor.co.uk/Overview/Working-at-Barratt-Developments-EI_IE10844.11,31.htm" TargetMode="External"/><Relationship Id="rId17" Type="http://schemas.openxmlformats.org/officeDocument/2006/relationships/hyperlink" Target="https://www.glassdoor.co.uk/Overview/Working-at-British-Land-Company-EI_IE10847.11,31.htm" TargetMode="External"/><Relationship Id="rId16" Type="http://schemas.openxmlformats.org/officeDocument/2006/relationships/hyperlink" Target="https://www.glassdoor.co.uk/Overview/Working-at-Berkeley-Group-EI_IE10118.11,25.htm" TargetMode="External"/><Relationship Id="rId19" Type="http://schemas.openxmlformats.org/officeDocument/2006/relationships/hyperlink" Target="https://www.glassdoor.co.uk/Overview/Working-at-Bunzl-EI_IE10133.11,16.htm" TargetMode="External"/><Relationship Id="rId18" Type="http://schemas.openxmlformats.org/officeDocument/2006/relationships/hyperlink" Target="https://www.glassdoor.co.uk/Overview/Working-at-B-and-M-Retail-EI_IE629657.11,25.htm" TargetMode="External"/><Relationship Id="rId84" Type="http://schemas.openxmlformats.org/officeDocument/2006/relationships/hyperlink" Target="https://www.glassdoor.co.uk/Overview/Working-at-Baillie-Gifford-EI_IE36741.11,26.htm" TargetMode="External"/><Relationship Id="rId83" Type="http://schemas.openxmlformats.org/officeDocument/2006/relationships/hyperlink" Target="https://www.glassdoor.co.uk/Overview/Working-at-Smiths-Group-EI_IE10234.11,23.htm" TargetMode="External"/><Relationship Id="rId86" Type="http://schemas.openxmlformats.org/officeDocument/2006/relationships/hyperlink" Target="https://www.glassdoor.co.uk/Overview/Working-at-Spirax-Sarco-EI_IE292187.11,23.htm" TargetMode="External"/><Relationship Id="rId85" Type="http://schemas.openxmlformats.org/officeDocument/2006/relationships/hyperlink" Target="https://www.glassdoor.co.uk/Overview/Working-at-Smith-and-Nephew-EI_IE10233.11,27.htm" TargetMode="External"/><Relationship Id="rId88" Type="http://schemas.openxmlformats.org/officeDocument/2006/relationships/hyperlink" Target="https://www.glassdoor.co.uk/Overview/Working-at-Standard-Chartered-Bank-EI_IE226853.11,34.htm" TargetMode="External"/><Relationship Id="rId87" Type="http://schemas.openxmlformats.org/officeDocument/2006/relationships/hyperlink" Target="https://www.glassdoor.co.uk/Overview/Working-at-SSE-EI_IE8994.11,14.htm" TargetMode="External"/><Relationship Id="rId89" Type="http://schemas.openxmlformats.org/officeDocument/2006/relationships/hyperlink" Target="https://www.glassdoor.co.uk/Overview/Working-at-St-James-s-Place-Wealth-Management-EI_IE10244.11,45.htm" TargetMode="External"/><Relationship Id="rId80" Type="http://schemas.openxmlformats.org/officeDocument/2006/relationships/hyperlink" Target="https://www.glassdoor.co.uk/Overview/Working-at-SEGRO-EI_IE10232.11,16.htm" TargetMode="External"/><Relationship Id="rId82" Type="http://schemas.openxmlformats.org/officeDocument/2006/relationships/hyperlink" Target="https://www.glassdoor.co.uk/Overview/Working-at-DS-Smith-EI_IE10142.11,19.htm" TargetMode="External"/><Relationship Id="rId81" Type="http://schemas.openxmlformats.org/officeDocument/2006/relationships/hyperlink" Target="https://www.glassdoor.co.uk/Overview/Working-at-Smurfit-Kappa-EI_IE10486.11,24.htm" TargetMode="External"/><Relationship Id="rId1" Type="http://schemas.openxmlformats.org/officeDocument/2006/relationships/hyperlink" Target="https://www.glassdoor.co.uk/Overview/Working-at-Bharti-Airtel-EI_IE38320.11,24.htm" TargetMode="External"/><Relationship Id="rId2" Type="http://schemas.openxmlformats.org/officeDocument/2006/relationships/hyperlink" Target="https://www.glassdoor.co.uk/Overview/Working-at-Anglo-American-EI_IE3491.11,25.htm" TargetMode="External"/><Relationship Id="rId3" Type="http://schemas.openxmlformats.org/officeDocument/2006/relationships/hyperlink" Target="https://www.glassdoor.co.uk/Overview/Working-at-abrdn-EI_IE10239.11,16.htm" TargetMode="External"/><Relationship Id="rId4" Type="http://schemas.openxmlformats.org/officeDocument/2006/relationships/hyperlink" Target="https://www.glassdoor.co.uk/Overview/Working-at-Associated-British-Foods-EI_IE10110.11,35.htm" TargetMode="External"/><Relationship Id="rId9" Type="http://schemas.openxmlformats.org/officeDocument/2006/relationships/hyperlink" Target="https://www.glassdoor.co.uk/Overview/Working-at-Aviva-EI_IE311641.11,16.htm" TargetMode="External"/><Relationship Id="rId5" Type="http://schemas.openxmlformats.org/officeDocument/2006/relationships/hyperlink" Target="https://www.glassdoor.co.uk/Overview/Working-at-Admiral-Group-EI_IE35772.11,24.htm" TargetMode="External"/><Relationship Id="rId6" Type="http://schemas.openxmlformats.org/officeDocument/2006/relationships/hyperlink" Target="https://www.glassdoor.co.uk/Reviews/Sunbelt-Rentals-Reviews-E19665.htm" TargetMode="External"/><Relationship Id="rId7" Type="http://schemas.openxmlformats.org/officeDocument/2006/relationships/hyperlink" Target="https://www.glassdoor.co.uk/Overview/Working-at-Antofagasta-EI_IE11472.11,22.htm" TargetMode="External"/><Relationship Id="rId8" Type="http://schemas.openxmlformats.org/officeDocument/2006/relationships/hyperlink" Target="https://www.glassdoor.co.uk/Overview/Working-at-Auto-Trader-UK-EI_IE505215.11,25.htm" TargetMode="External"/><Relationship Id="rId73" Type="http://schemas.openxmlformats.org/officeDocument/2006/relationships/hyperlink" Target="https://www.glassdoor.co.uk/Overview/Working-at-Rightmove-EI_IE39764.11,20.htm" TargetMode="External"/><Relationship Id="rId72" Type="http://schemas.openxmlformats.org/officeDocument/2006/relationships/hyperlink" Target="https://www.glassdoor.co.uk/Overview/Working-at-Rio-Tinto-EI_IE6685.11,20.htm" TargetMode="External"/><Relationship Id="rId75" Type="http://schemas.openxmlformats.org/officeDocument/2006/relationships/hyperlink" Target="https://www.glassdoor.co.uk/Overview/Working-at-RS-Group-EI_IE467935.11,19.htm" TargetMode="External"/><Relationship Id="rId74" Type="http://schemas.openxmlformats.org/officeDocument/2006/relationships/hyperlink" Target="https://www.glassdoor.co.uk/Overview/Working-at-Rolls-Royce-EI_IE3505.11,22.htm" TargetMode="External"/><Relationship Id="rId77" Type="http://schemas.openxmlformats.org/officeDocument/2006/relationships/hyperlink" Target="https://www.glassdoor.co.uk/Overview/Working-at-J-Sainsbury-EI_IE2978.11,22.htm" TargetMode="External"/><Relationship Id="rId76" Type="http://schemas.openxmlformats.org/officeDocument/2006/relationships/hyperlink" Target="https://www.glassdoor.co.uk/Overview/Working-at-Rentokil-Initial-EI_IE10220.11,27.htm" TargetMode="External"/><Relationship Id="rId79" Type="http://schemas.openxmlformats.org/officeDocument/2006/relationships/hyperlink" Target="https://www.glassdoor.co.uk/Overview/Working-at-Sage-EI_IE1150.11,15.htm" TargetMode="External"/><Relationship Id="rId78" Type="http://schemas.openxmlformats.org/officeDocument/2006/relationships/hyperlink" Target="https://www.glassdoor.co.uk/Overview/Working-at-Schroders-EI_IE10512.11,20.htm" TargetMode="External"/><Relationship Id="rId71" Type="http://schemas.openxmlformats.org/officeDocument/2006/relationships/hyperlink" Target="https://www.glassdoor.co.uk/Overview/Working-at-RELX-EI_IE1023378.11,15.htm" TargetMode="External"/><Relationship Id="rId70" Type="http://schemas.openxmlformats.org/officeDocument/2006/relationships/hyperlink" Target="https://www.glassdoor.co.uk/Overview/Working-at-Shell-EI_IE5833.11,16.htm" TargetMode="External"/><Relationship Id="rId62" Type="http://schemas.openxmlformats.org/officeDocument/2006/relationships/hyperlink" Target="https://www.glassdoor.co.uk/Overview/Working-at-next-EI_IE7749.11,15.htm" TargetMode="External"/><Relationship Id="rId61" Type="http://schemas.openxmlformats.org/officeDocument/2006/relationships/hyperlink" Target="https://www.glassdoor.co.uk/Overview/Working-at-National-Grid-EI_IE474.11,24.htm" TargetMode="External"/><Relationship Id="rId64" Type="http://schemas.openxmlformats.org/officeDocument/2006/relationships/hyperlink" Target="https://www.glassdoor.co.uk/Overview/Working-at-Phoenix-Group-EI_IE35846.11,24.htm" TargetMode="External"/><Relationship Id="rId63" Type="http://schemas.openxmlformats.org/officeDocument/2006/relationships/hyperlink" Target="https://www.glassdoor.co.uk/Overview/Working-at-Ocado-Group-EI_IE22337.11,22.htm" TargetMode="External"/><Relationship Id="rId66" Type="http://schemas.openxmlformats.org/officeDocument/2006/relationships/hyperlink" Target="https://www.glassdoor.co.uk/Overview/Working-at-Persimmon-EI_IE10285.11,20.htm" TargetMode="External"/><Relationship Id="rId65" Type="http://schemas.openxmlformats.org/officeDocument/2006/relationships/hyperlink" Target="https://www.glassdoor.co.uk/Overview/Working-at-Prudential-plc-EI_IE10215.11,25.htm" TargetMode="External"/><Relationship Id="rId68" Type="http://schemas.openxmlformats.org/officeDocument/2006/relationships/hyperlink" Target="https://www.glassdoor.co.uk/Overview/Working-at-RB-EI_IE3600.11,13.htm" TargetMode="External"/><Relationship Id="rId67" Type="http://schemas.openxmlformats.org/officeDocument/2006/relationships/hyperlink" Target="https://www.glassdoor.co.uk/Overview/Working-at-Pearson-EI_IE3322.11,18.htm" TargetMode="External"/><Relationship Id="rId60" Type="http://schemas.openxmlformats.org/officeDocument/2006/relationships/hyperlink" Target="https://www.glassdoor.co.uk/Reviews/Melrose-Industries-Reviews-E229812.htm" TargetMode="External"/><Relationship Id="rId69" Type="http://schemas.openxmlformats.org/officeDocument/2006/relationships/hyperlink" Target="https://www.glassdoor.co.uk/Overview/Working-at-Royal-Bank-of-Scotland-EI_IE10222.11,33.htm" TargetMode="External"/><Relationship Id="rId51" Type="http://schemas.openxmlformats.org/officeDocument/2006/relationships/hyperlink" Target="https://www.glassdoor.co.uk/Overview/Working-at-JD-Sports-Fashion-EI_IE13180.11,28.htm" TargetMode="External"/><Relationship Id="rId50" Type="http://schemas.openxmlformats.org/officeDocument/2006/relationships/hyperlink" Target="https://www.glassdoor.co.uk/Overview/Working-at-Intertek-EI_IE15251.11,19.htm" TargetMode="External"/><Relationship Id="rId53" Type="http://schemas.openxmlformats.org/officeDocument/2006/relationships/hyperlink" Target="https://www.glassdoor.co.uk/Overview/Working-at-Kingfisher-EI_IE10182.11,21.htm" TargetMode="External"/><Relationship Id="rId52" Type="http://schemas.openxmlformats.org/officeDocument/2006/relationships/hyperlink" Target="https://www.glassdoor.co.uk/Overview/Working-at-Johnson-Matthey-EI_IE823708.11,26.htm" TargetMode="External"/><Relationship Id="rId55" Type="http://schemas.openxmlformats.org/officeDocument/2006/relationships/hyperlink" Target="https://www.glassdoor.co.uk/Overview/Working-at-Legal-and-General-EI_IE10189.11,28.htm" TargetMode="External"/><Relationship Id="rId54" Type="http://schemas.openxmlformats.org/officeDocument/2006/relationships/hyperlink" Target="https://www.glassdoor.co.uk/Overview/Working-at-Landsec-EI_IE10187.11,18.htm" TargetMode="External"/><Relationship Id="rId57" Type="http://schemas.openxmlformats.org/officeDocument/2006/relationships/hyperlink" Target="https://www.glassdoor.co.uk/Overview/Working-at-London-Stock-Exchange-Group-EI_IE11860.11,38.htm" TargetMode="External"/><Relationship Id="rId56" Type="http://schemas.openxmlformats.org/officeDocument/2006/relationships/hyperlink" Target="https://www.glassdoor.co.uk/Overview/Working-at-Lloyds-Banking-Group-EI_IE316191.11,31.htm" TargetMode="External"/><Relationship Id="rId59" Type="http://schemas.openxmlformats.org/officeDocument/2006/relationships/hyperlink" Target="https://www.glassdoor.co.uk/Overview/Working-at-M-and-G-plc-EI_IE36436.11,22.htm" TargetMode="External"/><Relationship Id="rId58" Type="http://schemas.openxmlformats.org/officeDocument/2006/relationships/hyperlink" Target="https://www.glassdoor.co.uk/Overview/Working-at-Mondi-Group-EI_IE42692.11,22.ht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50.38"/>
    <col customWidth="1" min="3" max="3" width="28.63"/>
    <col customWidth="1" min="5" max="5" width="90.38"/>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7</v>
      </c>
      <c r="B3" s="2" t="s">
        <v>14</v>
      </c>
      <c r="C3" s="2" t="s">
        <v>15</v>
      </c>
      <c r="D3" s="2" t="s">
        <v>16</v>
      </c>
      <c r="E3" s="2" t="s">
        <v>17</v>
      </c>
      <c r="F3" s="2" t="s">
        <v>12</v>
      </c>
      <c r="G3" s="2" t="s">
        <v>13</v>
      </c>
    </row>
    <row r="4">
      <c r="A4" s="2" t="s">
        <v>7</v>
      </c>
      <c r="B4" s="2" t="s">
        <v>18</v>
      </c>
      <c r="C4" s="2" t="s">
        <v>19</v>
      </c>
      <c r="D4" s="2" t="s">
        <v>20</v>
      </c>
      <c r="E4" s="2" t="s">
        <v>21</v>
      </c>
      <c r="F4" s="2" t="s">
        <v>12</v>
      </c>
      <c r="G4" s="2" t="s">
        <v>13</v>
      </c>
    </row>
    <row r="5">
      <c r="A5" s="2" t="s">
        <v>7</v>
      </c>
      <c r="B5" s="2" t="s">
        <v>22</v>
      </c>
      <c r="C5" s="2" t="s">
        <v>23</v>
      </c>
      <c r="D5" s="2" t="s">
        <v>24</v>
      </c>
      <c r="E5" s="2" t="s">
        <v>25</v>
      </c>
      <c r="F5" s="2" t="s">
        <v>12</v>
      </c>
      <c r="G5" s="2" t="s">
        <v>13</v>
      </c>
    </row>
    <row r="6">
      <c r="A6" s="2" t="s">
        <v>7</v>
      </c>
      <c r="B6" s="2" t="s">
        <v>26</v>
      </c>
      <c r="C6" s="2" t="s">
        <v>27</v>
      </c>
      <c r="D6" s="2" t="s">
        <v>28</v>
      </c>
      <c r="E6" s="2" t="s">
        <v>29</v>
      </c>
      <c r="F6" s="2" t="s">
        <v>12</v>
      </c>
      <c r="G6" s="2" t="s">
        <v>13</v>
      </c>
    </row>
    <row r="7">
      <c r="A7" s="2" t="s">
        <v>7</v>
      </c>
      <c r="B7" s="2" t="s">
        <v>30</v>
      </c>
      <c r="C7" s="2" t="s">
        <v>31</v>
      </c>
      <c r="D7" s="2" t="s">
        <v>32</v>
      </c>
      <c r="E7" s="2" t="s">
        <v>33</v>
      </c>
      <c r="F7" s="2" t="s">
        <v>12</v>
      </c>
      <c r="G7" s="2" t="s">
        <v>13</v>
      </c>
    </row>
    <row r="8">
      <c r="A8" s="2" t="s">
        <v>7</v>
      </c>
      <c r="B8" s="2" t="s">
        <v>34</v>
      </c>
      <c r="C8" s="2" t="s">
        <v>35</v>
      </c>
      <c r="D8" s="2" t="s">
        <v>36</v>
      </c>
      <c r="E8" s="2" t="s">
        <v>37</v>
      </c>
      <c r="F8" s="2" t="s">
        <v>12</v>
      </c>
      <c r="G8" s="2" t="s">
        <v>13</v>
      </c>
    </row>
    <row r="9">
      <c r="A9" s="2" t="s">
        <v>7</v>
      </c>
      <c r="B9" s="2" t="s">
        <v>38</v>
      </c>
      <c r="C9" s="2" t="s">
        <v>39</v>
      </c>
      <c r="D9" s="2" t="s">
        <v>40</v>
      </c>
      <c r="E9" s="2" t="s">
        <v>41</v>
      </c>
      <c r="F9" s="2" t="s">
        <v>12</v>
      </c>
      <c r="G9" s="2" t="s">
        <v>13</v>
      </c>
    </row>
    <row r="10">
      <c r="A10" s="2" t="s">
        <v>7</v>
      </c>
      <c r="B10" s="2" t="s">
        <v>42</v>
      </c>
      <c r="C10" s="2" t="s">
        <v>43</v>
      </c>
      <c r="D10" s="2" t="s">
        <v>44</v>
      </c>
      <c r="E10" s="2" t="s">
        <v>45</v>
      </c>
      <c r="F10" s="2" t="s">
        <v>46</v>
      </c>
      <c r="G10" s="2" t="s">
        <v>13</v>
      </c>
    </row>
    <row r="11">
      <c r="A11" s="2" t="s">
        <v>7</v>
      </c>
      <c r="B11" s="2" t="s">
        <v>47</v>
      </c>
      <c r="C11" s="2" t="s">
        <v>48</v>
      </c>
      <c r="D11" s="2" t="s">
        <v>49</v>
      </c>
      <c r="E11" s="2" t="s">
        <v>50</v>
      </c>
      <c r="F11" s="2" t="s">
        <v>46</v>
      </c>
      <c r="G11" s="2" t="s">
        <v>13</v>
      </c>
    </row>
    <row r="12">
      <c r="A12" s="2" t="s">
        <v>7</v>
      </c>
      <c r="B12" s="2" t="s">
        <v>51</v>
      </c>
      <c r="C12" s="2" t="s">
        <v>52</v>
      </c>
      <c r="D12" s="2" t="s">
        <v>53</v>
      </c>
      <c r="E12" s="2" t="s">
        <v>54</v>
      </c>
      <c r="F12" s="2" t="s">
        <v>46</v>
      </c>
      <c r="G12" s="2" t="s">
        <v>13</v>
      </c>
    </row>
    <row r="13">
      <c r="A13" s="2" t="s">
        <v>7</v>
      </c>
      <c r="B13" s="2" t="s">
        <v>55</v>
      </c>
      <c r="C13" s="2" t="s">
        <v>56</v>
      </c>
      <c r="D13" s="2" t="s">
        <v>57</v>
      </c>
      <c r="E13" s="2" t="s">
        <v>58</v>
      </c>
      <c r="F13" s="2" t="s">
        <v>46</v>
      </c>
      <c r="G13" s="2" t="s">
        <v>13</v>
      </c>
    </row>
    <row r="14">
      <c r="A14" s="2" t="s">
        <v>7</v>
      </c>
      <c r="B14" s="2" t="s">
        <v>59</v>
      </c>
      <c r="C14" s="2" t="s">
        <v>60</v>
      </c>
      <c r="D14" s="2" t="s">
        <v>61</v>
      </c>
      <c r="E14" s="2" t="s">
        <v>62</v>
      </c>
      <c r="F14" s="2" t="s">
        <v>46</v>
      </c>
      <c r="G14" s="2" t="s">
        <v>13</v>
      </c>
    </row>
    <row r="15">
      <c r="A15" s="2" t="s">
        <v>7</v>
      </c>
      <c r="B15" s="2" t="s">
        <v>63</v>
      </c>
      <c r="C15" s="2" t="s">
        <v>64</v>
      </c>
      <c r="D15" s="2" t="s">
        <v>65</v>
      </c>
      <c r="E15" s="2" t="s">
        <v>66</v>
      </c>
      <c r="F15" s="2" t="s">
        <v>46</v>
      </c>
      <c r="G15" s="2" t="s">
        <v>13</v>
      </c>
    </row>
    <row r="16">
      <c r="A16" s="2" t="s">
        <v>67</v>
      </c>
      <c r="B16" s="2" t="s">
        <v>68</v>
      </c>
      <c r="C16" s="2" t="s">
        <v>69</v>
      </c>
      <c r="D16" s="2" t="s">
        <v>70</v>
      </c>
      <c r="E16" s="2" t="s">
        <v>71</v>
      </c>
      <c r="F16" s="2" t="s">
        <v>72</v>
      </c>
      <c r="G16" s="2" t="s">
        <v>73</v>
      </c>
    </row>
    <row r="17">
      <c r="A17" s="2" t="s">
        <v>67</v>
      </c>
      <c r="B17" s="2" t="s">
        <v>74</v>
      </c>
      <c r="C17" s="2" t="s">
        <v>75</v>
      </c>
      <c r="D17" s="2" t="s">
        <v>76</v>
      </c>
      <c r="E17" s="2" t="s">
        <v>77</v>
      </c>
      <c r="F17" s="2" t="s">
        <v>72</v>
      </c>
      <c r="G17" s="2" t="s">
        <v>78</v>
      </c>
    </row>
    <row r="18">
      <c r="A18" s="2" t="s">
        <v>67</v>
      </c>
      <c r="B18" s="2" t="s">
        <v>79</v>
      </c>
      <c r="C18" s="2" t="s">
        <v>80</v>
      </c>
      <c r="D18" s="2" t="s">
        <v>81</v>
      </c>
      <c r="E18" s="2" t="s">
        <v>82</v>
      </c>
      <c r="F18" s="2" t="s">
        <v>72</v>
      </c>
      <c r="G18" s="2" t="s">
        <v>83</v>
      </c>
    </row>
    <row r="19">
      <c r="A19" s="2" t="s">
        <v>67</v>
      </c>
      <c r="B19" s="2" t="s">
        <v>84</v>
      </c>
      <c r="C19" s="2" t="s">
        <v>85</v>
      </c>
      <c r="D19" s="2" t="s">
        <v>86</v>
      </c>
      <c r="E19" s="2" t="s">
        <v>87</v>
      </c>
      <c r="F19" s="2" t="s">
        <v>72</v>
      </c>
      <c r="G19" s="2" t="s">
        <v>88</v>
      </c>
    </row>
    <row r="20">
      <c r="A20" s="2" t="s">
        <v>67</v>
      </c>
      <c r="B20" s="2" t="s">
        <v>89</v>
      </c>
      <c r="C20" s="2" t="s">
        <v>90</v>
      </c>
      <c r="D20" s="2" t="s">
        <v>91</v>
      </c>
      <c r="E20" s="2" t="s">
        <v>92</v>
      </c>
      <c r="F20" s="2" t="s">
        <v>72</v>
      </c>
      <c r="G20" s="2" t="s">
        <v>93</v>
      </c>
    </row>
    <row r="21">
      <c r="A21" s="2" t="s">
        <v>94</v>
      </c>
      <c r="B21" s="2" t="s">
        <v>95</v>
      </c>
      <c r="C21" s="2" t="s">
        <v>96</v>
      </c>
      <c r="D21" s="2" t="s">
        <v>97</v>
      </c>
      <c r="E21" s="2" t="s">
        <v>98</v>
      </c>
      <c r="F21" s="2" t="s">
        <v>72</v>
      </c>
      <c r="G21" s="2" t="s">
        <v>99</v>
      </c>
    </row>
    <row r="22">
      <c r="A22" s="2" t="s">
        <v>94</v>
      </c>
      <c r="B22" s="2" t="s">
        <v>100</v>
      </c>
      <c r="C22" s="2" t="s">
        <v>101</v>
      </c>
      <c r="D22" s="2" t="s">
        <v>102</v>
      </c>
      <c r="E22" s="2" t="s">
        <v>103</v>
      </c>
      <c r="F22" s="3" t="s">
        <v>104</v>
      </c>
      <c r="G22" s="2" t="s">
        <v>105</v>
      </c>
    </row>
    <row r="23">
      <c r="A23" s="2" t="s">
        <v>94</v>
      </c>
      <c r="B23" s="2" t="s">
        <v>106</v>
      </c>
      <c r="C23" s="2" t="s">
        <v>107</v>
      </c>
      <c r="D23" s="2" t="s">
        <v>108</v>
      </c>
      <c r="E23" s="2" t="s">
        <v>109</v>
      </c>
      <c r="F23" s="2" t="s">
        <v>72</v>
      </c>
      <c r="G23" s="2" t="s">
        <v>110</v>
      </c>
    </row>
    <row r="24">
      <c r="A24" s="2" t="s">
        <v>94</v>
      </c>
      <c r="B24" s="2" t="s">
        <v>111</v>
      </c>
      <c r="C24" s="2" t="s">
        <v>112</v>
      </c>
      <c r="D24" s="2" t="s">
        <v>113</v>
      </c>
      <c r="E24" s="2" t="s">
        <v>114</v>
      </c>
      <c r="F24" s="2" t="s">
        <v>72</v>
      </c>
      <c r="G24" s="2" t="s">
        <v>110</v>
      </c>
    </row>
    <row r="25">
      <c r="A25" s="2" t="s">
        <v>94</v>
      </c>
      <c r="B25" s="2" t="s">
        <v>115</v>
      </c>
      <c r="C25" s="2" t="s">
        <v>116</v>
      </c>
      <c r="D25" s="2" t="s">
        <v>117</v>
      </c>
      <c r="E25" s="2" t="s">
        <v>118</v>
      </c>
      <c r="F25" s="2" t="s">
        <v>119</v>
      </c>
      <c r="G25" s="2" t="s">
        <v>120</v>
      </c>
    </row>
    <row r="26">
      <c r="A26" s="2" t="s">
        <v>94</v>
      </c>
      <c r="B26" s="2" t="s">
        <v>121</v>
      </c>
      <c r="C26" s="2" t="s">
        <v>122</v>
      </c>
      <c r="D26" s="2" t="s">
        <v>123</v>
      </c>
      <c r="E26" s="2" t="s">
        <v>124</v>
      </c>
      <c r="F26" s="2" t="s">
        <v>72</v>
      </c>
      <c r="G26" s="2" t="s">
        <v>125</v>
      </c>
    </row>
    <row r="27">
      <c r="A27" s="2" t="s">
        <v>94</v>
      </c>
      <c r="B27" s="2" t="s">
        <v>126</v>
      </c>
      <c r="C27" s="2" t="s">
        <v>127</v>
      </c>
      <c r="D27" s="2" t="s">
        <v>128</v>
      </c>
      <c r="E27" s="2" t="s">
        <v>129</v>
      </c>
      <c r="F27" s="2" t="s">
        <v>72</v>
      </c>
      <c r="G27" s="2" t="s">
        <v>130</v>
      </c>
    </row>
    <row r="28">
      <c r="A28" s="2" t="s">
        <v>94</v>
      </c>
      <c r="B28" s="2" t="s">
        <v>131</v>
      </c>
      <c r="C28" s="2" t="s">
        <v>132</v>
      </c>
      <c r="D28" s="2" t="s">
        <v>133</v>
      </c>
      <c r="E28" s="2" t="s">
        <v>134</v>
      </c>
      <c r="F28" s="2" t="s">
        <v>72</v>
      </c>
      <c r="G28" s="2" t="s">
        <v>135</v>
      </c>
    </row>
    <row r="29">
      <c r="A29" s="2" t="s">
        <v>94</v>
      </c>
      <c r="B29" s="2" t="s">
        <v>136</v>
      </c>
      <c r="C29" s="2" t="s">
        <v>137</v>
      </c>
      <c r="D29" s="2" t="s">
        <v>138</v>
      </c>
      <c r="E29" s="2" t="s">
        <v>139</v>
      </c>
      <c r="F29" s="2" t="s">
        <v>72</v>
      </c>
      <c r="G29" s="2" t="s">
        <v>140</v>
      </c>
    </row>
    <row r="30">
      <c r="A30" s="2" t="s">
        <v>94</v>
      </c>
      <c r="B30" s="2" t="s">
        <v>141</v>
      </c>
      <c r="C30" s="2" t="s">
        <v>142</v>
      </c>
      <c r="D30" s="2" t="s">
        <v>143</v>
      </c>
      <c r="E30" s="2" t="s">
        <v>144</v>
      </c>
      <c r="F30" s="2" t="s">
        <v>72</v>
      </c>
      <c r="G30" s="2" t="s">
        <v>145</v>
      </c>
    </row>
    <row r="31">
      <c r="A31" s="2" t="s">
        <v>94</v>
      </c>
      <c r="B31" s="2" t="s">
        <v>146</v>
      </c>
      <c r="C31" s="2" t="s">
        <v>147</v>
      </c>
      <c r="D31" s="2" t="s">
        <v>148</v>
      </c>
      <c r="E31" s="2" t="s">
        <v>149</v>
      </c>
      <c r="F31" s="2" t="s">
        <v>12</v>
      </c>
      <c r="G31" s="2" t="s">
        <v>110</v>
      </c>
    </row>
    <row r="32">
      <c r="A32" s="2" t="s">
        <v>94</v>
      </c>
      <c r="B32" s="2" t="s">
        <v>150</v>
      </c>
      <c r="C32" s="2" t="s">
        <v>151</v>
      </c>
      <c r="D32" s="2" t="s">
        <v>152</v>
      </c>
      <c r="E32" s="2" t="s">
        <v>153</v>
      </c>
      <c r="F32" s="2" t="s">
        <v>46</v>
      </c>
      <c r="G32" s="2" t="s">
        <v>110</v>
      </c>
    </row>
    <row r="33">
      <c r="A33" s="2" t="s">
        <v>94</v>
      </c>
      <c r="B33" s="2" t="s">
        <v>154</v>
      </c>
      <c r="C33" s="2" t="s">
        <v>155</v>
      </c>
      <c r="D33" s="2" t="s">
        <v>156</v>
      </c>
      <c r="E33" s="2" t="s">
        <v>157</v>
      </c>
      <c r="F33" s="2" t="s">
        <v>12</v>
      </c>
      <c r="G33" s="2" t="s">
        <v>110</v>
      </c>
    </row>
    <row r="34">
      <c r="A34" s="2" t="s">
        <v>94</v>
      </c>
      <c r="B34" s="2" t="s">
        <v>158</v>
      </c>
      <c r="C34" s="2" t="s">
        <v>159</v>
      </c>
      <c r="D34" s="2" t="s">
        <v>160</v>
      </c>
      <c r="E34" s="2" t="s">
        <v>161</v>
      </c>
      <c r="F34" s="2" t="s">
        <v>46</v>
      </c>
      <c r="G34" s="2" t="s">
        <v>110</v>
      </c>
    </row>
    <row r="35">
      <c r="A35" s="2" t="s">
        <v>94</v>
      </c>
      <c r="B35" s="2" t="s">
        <v>162</v>
      </c>
      <c r="C35" s="2" t="s">
        <v>163</v>
      </c>
      <c r="D35" s="2" t="s">
        <v>164</v>
      </c>
      <c r="E35" s="2" t="s">
        <v>165</v>
      </c>
      <c r="F35" s="2" t="s">
        <v>12</v>
      </c>
      <c r="G35" s="2" t="s">
        <v>110</v>
      </c>
    </row>
    <row r="36">
      <c r="A36" s="2" t="s">
        <v>94</v>
      </c>
      <c r="B36" s="2" t="s">
        <v>166</v>
      </c>
      <c r="C36" s="2" t="s">
        <v>167</v>
      </c>
      <c r="D36" s="2" t="s">
        <v>168</v>
      </c>
      <c r="E36" s="2" t="s">
        <v>169</v>
      </c>
      <c r="F36" s="2" t="s">
        <v>46</v>
      </c>
      <c r="G36" s="2" t="s">
        <v>110</v>
      </c>
    </row>
    <row r="37">
      <c r="A37" s="2" t="s">
        <v>94</v>
      </c>
      <c r="B37" s="2" t="s">
        <v>170</v>
      </c>
      <c r="C37" s="2" t="s">
        <v>171</v>
      </c>
      <c r="D37" s="2" t="s">
        <v>172</v>
      </c>
      <c r="E37" s="2" t="s">
        <v>173</v>
      </c>
      <c r="F37" s="2" t="s">
        <v>174</v>
      </c>
      <c r="G37" s="2" t="s">
        <v>105</v>
      </c>
    </row>
    <row r="38">
      <c r="A38" s="2" t="s">
        <v>94</v>
      </c>
      <c r="B38" s="2" t="s">
        <v>175</v>
      </c>
      <c r="C38" s="2" t="s">
        <v>176</v>
      </c>
      <c r="D38" s="2" t="s">
        <v>177</v>
      </c>
      <c r="E38" s="2" t="s">
        <v>178</v>
      </c>
      <c r="F38" s="2" t="s">
        <v>179</v>
      </c>
      <c r="G38" s="2" t="s">
        <v>105</v>
      </c>
    </row>
    <row r="39">
      <c r="A39" s="2" t="s">
        <v>180</v>
      </c>
      <c r="B39" s="2" t="s">
        <v>181</v>
      </c>
      <c r="C39" s="2" t="s">
        <v>182</v>
      </c>
      <c r="D39" s="2" t="s">
        <v>183</v>
      </c>
      <c r="E39" s="2" t="s">
        <v>184</v>
      </c>
      <c r="F39" s="2" t="s">
        <v>185</v>
      </c>
      <c r="G39" s="2" t="s">
        <v>110</v>
      </c>
    </row>
    <row r="40">
      <c r="A40" s="2" t="s">
        <v>180</v>
      </c>
      <c r="B40" s="2" t="s">
        <v>186</v>
      </c>
      <c r="C40" s="2" t="s">
        <v>187</v>
      </c>
      <c r="D40" s="2" t="s">
        <v>188</v>
      </c>
      <c r="E40" s="2" t="s">
        <v>189</v>
      </c>
      <c r="F40" s="2" t="s">
        <v>72</v>
      </c>
      <c r="G40" s="2" t="s">
        <v>110</v>
      </c>
    </row>
    <row r="41">
      <c r="A41" s="2" t="s">
        <v>180</v>
      </c>
      <c r="B41" s="2" t="s">
        <v>190</v>
      </c>
      <c r="C41" s="2" t="s">
        <v>191</v>
      </c>
      <c r="D41" s="2" t="s">
        <v>192</v>
      </c>
      <c r="E41" s="2" t="s">
        <v>193</v>
      </c>
      <c r="F41" s="2" t="s">
        <v>12</v>
      </c>
      <c r="G41" s="2" t="s">
        <v>110</v>
      </c>
    </row>
    <row r="42">
      <c r="A42" s="2" t="s">
        <v>180</v>
      </c>
      <c r="B42" s="2" t="s">
        <v>194</v>
      </c>
      <c r="C42" s="2" t="s">
        <v>195</v>
      </c>
      <c r="D42" s="2" t="s">
        <v>196</v>
      </c>
      <c r="E42" s="2" t="s">
        <v>197</v>
      </c>
      <c r="F42" s="2" t="s">
        <v>46</v>
      </c>
      <c r="G42" s="2" t="s">
        <v>110</v>
      </c>
    </row>
    <row r="43">
      <c r="A43" s="2" t="s">
        <v>180</v>
      </c>
      <c r="B43" s="2" t="s">
        <v>198</v>
      </c>
      <c r="C43" s="2" t="s">
        <v>199</v>
      </c>
      <c r="D43" s="2" t="s">
        <v>200</v>
      </c>
      <c r="E43" s="2" t="s">
        <v>201</v>
      </c>
      <c r="F43" s="2" t="s">
        <v>12</v>
      </c>
      <c r="G43" s="2" t="s">
        <v>110</v>
      </c>
    </row>
    <row r="44">
      <c r="A44" s="2" t="s">
        <v>180</v>
      </c>
      <c r="B44" s="2" t="s">
        <v>202</v>
      </c>
      <c r="C44" s="2" t="s">
        <v>203</v>
      </c>
      <c r="D44" s="2" t="s">
        <v>204</v>
      </c>
      <c r="E44" s="2" t="s">
        <v>205</v>
      </c>
      <c r="F44" s="2" t="s">
        <v>46</v>
      </c>
      <c r="G44" s="2" t="s">
        <v>110</v>
      </c>
    </row>
    <row r="45">
      <c r="A45" s="2" t="s">
        <v>180</v>
      </c>
      <c r="B45" s="2" t="s">
        <v>206</v>
      </c>
      <c r="C45" s="2" t="s">
        <v>207</v>
      </c>
      <c r="D45" s="2" t="s">
        <v>208</v>
      </c>
      <c r="E45" s="2" t="s">
        <v>209</v>
      </c>
      <c r="F45" s="2" t="s">
        <v>210</v>
      </c>
      <c r="G45" s="2" t="s">
        <v>110</v>
      </c>
    </row>
    <row r="46">
      <c r="A46" s="2" t="s">
        <v>180</v>
      </c>
      <c r="B46" s="2" t="s">
        <v>211</v>
      </c>
      <c r="C46" s="2" t="s">
        <v>212</v>
      </c>
      <c r="D46" s="2" t="s">
        <v>213</v>
      </c>
      <c r="E46" s="2" t="s">
        <v>214</v>
      </c>
      <c r="F46" s="2" t="s">
        <v>46</v>
      </c>
      <c r="G46" s="2" t="s">
        <v>110</v>
      </c>
    </row>
    <row r="47">
      <c r="A47" s="2" t="s">
        <v>180</v>
      </c>
      <c r="B47" s="2" t="s">
        <v>215</v>
      </c>
      <c r="C47" s="2" t="s">
        <v>216</v>
      </c>
      <c r="D47" s="2" t="s">
        <v>217</v>
      </c>
      <c r="E47" s="2" t="s">
        <v>218</v>
      </c>
      <c r="F47" s="2" t="s">
        <v>46</v>
      </c>
      <c r="G47" s="2" t="s">
        <v>110</v>
      </c>
    </row>
    <row r="48">
      <c r="A48" s="2" t="s">
        <v>180</v>
      </c>
      <c r="B48" s="2" t="s">
        <v>219</v>
      </c>
      <c r="C48" s="2" t="s">
        <v>220</v>
      </c>
      <c r="D48" s="2" t="s">
        <v>221</v>
      </c>
      <c r="E48" s="2" t="s">
        <v>222</v>
      </c>
      <c r="F48" s="2" t="s">
        <v>12</v>
      </c>
      <c r="G48" s="2" t="s">
        <v>110</v>
      </c>
    </row>
    <row r="49">
      <c r="A49" s="2" t="s">
        <v>223</v>
      </c>
      <c r="B49" s="2" t="s">
        <v>224</v>
      </c>
      <c r="C49" s="2" t="s">
        <v>225</v>
      </c>
      <c r="D49" s="2" t="s">
        <v>226</v>
      </c>
      <c r="E49" s="2" t="s">
        <v>227</v>
      </c>
      <c r="F49" s="2" t="s">
        <v>46</v>
      </c>
      <c r="G49" s="2" t="s">
        <v>228</v>
      </c>
    </row>
    <row r="50">
      <c r="A50" s="2" t="s">
        <v>223</v>
      </c>
      <c r="B50" s="2" t="s">
        <v>229</v>
      </c>
      <c r="C50" s="2" t="s">
        <v>230</v>
      </c>
      <c r="D50" s="2" t="s">
        <v>231</v>
      </c>
      <c r="E50" s="2" t="s">
        <v>232</v>
      </c>
      <c r="F50" s="2" t="s">
        <v>46</v>
      </c>
      <c r="G50" s="2" t="s">
        <v>228</v>
      </c>
    </row>
    <row r="51">
      <c r="A51" s="2" t="s">
        <v>223</v>
      </c>
      <c r="B51" s="2" t="s">
        <v>233</v>
      </c>
      <c r="C51" s="2" t="s">
        <v>234</v>
      </c>
      <c r="D51" s="2" t="s">
        <v>235</v>
      </c>
      <c r="E51" s="2" t="s">
        <v>236</v>
      </c>
      <c r="F51" s="2" t="s">
        <v>46</v>
      </c>
      <c r="G51" s="2" t="s">
        <v>228</v>
      </c>
    </row>
    <row r="52">
      <c r="A52" s="2" t="s">
        <v>223</v>
      </c>
      <c r="B52" s="2" t="s">
        <v>237</v>
      </c>
      <c r="C52" s="2" t="s">
        <v>238</v>
      </c>
      <c r="D52" s="2" t="s">
        <v>239</v>
      </c>
      <c r="E52" s="2" t="s">
        <v>240</v>
      </c>
      <c r="F52" s="2" t="s">
        <v>241</v>
      </c>
      <c r="G52" s="2" t="s">
        <v>242</v>
      </c>
    </row>
    <row r="53">
      <c r="A53" s="2" t="s">
        <v>223</v>
      </c>
      <c r="B53" s="2" t="s">
        <v>243</v>
      </c>
      <c r="C53" s="2" t="s">
        <v>244</v>
      </c>
      <c r="D53" s="2" t="s">
        <v>245</v>
      </c>
      <c r="E53" s="2" t="s">
        <v>246</v>
      </c>
      <c r="F53" s="2" t="s">
        <v>241</v>
      </c>
      <c r="G53" s="2" t="s">
        <v>242</v>
      </c>
    </row>
    <row r="54">
      <c r="A54" s="2" t="s">
        <v>223</v>
      </c>
      <c r="B54" s="2" t="s">
        <v>247</v>
      </c>
      <c r="C54" s="2" t="s">
        <v>248</v>
      </c>
      <c r="D54" s="2" t="s">
        <v>249</v>
      </c>
      <c r="E54" s="2" t="s">
        <v>250</v>
      </c>
      <c r="F54" s="2" t="s">
        <v>46</v>
      </c>
      <c r="G54" s="2" t="s">
        <v>251</v>
      </c>
    </row>
    <row r="55">
      <c r="A55" s="2" t="s">
        <v>223</v>
      </c>
      <c r="B55" s="2" t="s">
        <v>252</v>
      </c>
      <c r="C55" s="2" t="s">
        <v>253</v>
      </c>
      <c r="D55" s="2" t="s">
        <v>254</v>
      </c>
      <c r="E55" s="2" t="s">
        <v>255</v>
      </c>
      <c r="F55" s="2" t="s">
        <v>46</v>
      </c>
      <c r="G55" s="2" t="s">
        <v>251</v>
      </c>
    </row>
    <row r="56">
      <c r="A56" s="2" t="s">
        <v>223</v>
      </c>
      <c r="B56" s="2" t="s">
        <v>256</v>
      </c>
      <c r="C56" s="2" t="s">
        <v>257</v>
      </c>
      <c r="D56" s="2" t="s">
        <v>258</v>
      </c>
      <c r="E56" s="2" t="s">
        <v>259</v>
      </c>
      <c r="F56" s="2" t="s">
        <v>46</v>
      </c>
      <c r="G56" s="2" t="s">
        <v>251</v>
      </c>
    </row>
    <row r="57">
      <c r="A57" s="2" t="s">
        <v>223</v>
      </c>
      <c r="B57" s="2" t="s">
        <v>260</v>
      </c>
      <c r="C57" s="2" t="s">
        <v>261</v>
      </c>
      <c r="D57" s="2" t="s">
        <v>262</v>
      </c>
      <c r="E57" s="2" t="s">
        <v>263</v>
      </c>
      <c r="F57" s="2" t="s">
        <v>46</v>
      </c>
      <c r="G57" s="2" t="s">
        <v>110</v>
      </c>
    </row>
    <row r="58">
      <c r="A58" s="2" t="s">
        <v>223</v>
      </c>
      <c r="B58" s="2" t="s">
        <v>264</v>
      </c>
      <c r="C58" s="2" t="s">
        <v>265</v>
      </c>
      <c r="D58" s="2" t="s">
        <v>266</v>
      </c>
      <c r="E58" s="2" t="s">
        <v>267</v>
      </c>
      <c r="F58" s="2" t="s">
        <v>72</v>
      </c>
      <c r="G58" s="2" t="s">
        <v>268</v>
      </c>
    </row>
    <row r="59">
      <c r="A59" s="2" t="s">
        <v>223</v>
      </c>
      <c r="B59" s="2" t="s">
        <v>269</v>
      </c>
      <c r="C59" s="2" t="s">
        <v>270</v>
      </c>
      <c r="D59" s="2" t="s">
        <v>271</v>
      </c>
      <c r="E59" s="2" t="s">
        <v>272</v>
      </c>
      <c r="F59" s="2" t="s">
        <v>273</v>
      </c>
      <c r="G59" s="2" t="s">
        <v>268</v>
      </c>
    </row>
    <row r="60">
      <c r="A60" s="2" t="s">
        <v>223</v>
      </c>
      <c r="B60" s="2" t="s">
        <v>274</v>
      </c>
      <c r="C60" s="2" t="s">
        <v>275</v>
      </c>
      <c r="D60" s="2" t="s">
        <v>276</v>
      </c>
      <c r="E60" s="2" t="s">
        <v>277</v>
      </c>
      <c r="F60" s="2" t="s">
        <v>46</v>
      </c>
      <c r="G60" s="2" t="s">
        <v>110</v>
      </c>
    </row>
    <row r="61">
      <c r="A61" s="2" t="s">
        <v>223</v>
      </c>
      <c r="B61" s="2" t="s">
        <v>278</v>
      </c>
      <c r="C61" s="2" t="s">
        <v>279</v>
      </c>
      <c r="D61" s="2" t="s">
        <v>280</v>
      </c>
      <c r="E61" s="2" t="s">
        <v>281</v>
      </c>
      <c r="F61" s="2" t="s">
        <v>46</v>
      </c>
      <c r="G61" s="2" t="s">
        <v>110</v>
      </c>
    </row>
    <row r="62">
      <c r="A62" s="2" t="s">
        <v>223</v>
      </c>
      <c r="B62" s="2" t="s">
        <v>282</v>
      </c>
      <c r="C62" s="2" t="s">
        <v>283</v>
      </c>
      <c r="D62" s="2" t="s">
        <v>284</v>
      </c>
      <c r="E62" s="2" t="s">
        <v>285</v>
      </c>
      <c r="F62" s="2" t="s">
        <v>46</v>
      </c>
      <c r="G62" s="2" t="s">
        <v>110</v>
      </c>
    </row>
    <row r="63">
      <c r="A63" s="2" t="s">
        <v>223</v>
      </c>
      <c r="B63" s="2" t="s">
        <v>286</v>
      </c>
      <c r="C63" s="2" t="s">
        <v>287</v>
      </c>
      <c r="D63" s="2" t="s">
        <v>288</v>
      </c>
      <c r="E63" s="2" t="s">
        <v>289</v>
      </c>
      <c r="F63" s="2" t="s">
        <v>46</v>
      </c>
      <c r="G63" s="2" t="s">
        <v>110</v>
      </c>
    </row>
    <row r="64">
      <c r="A64" s="2" t="s">
        <v>223</v>
      </c>
      <c r="B64" s="2" t="s">
        <v>290</v>
      </c>
      <c r="C64" s="2" t="s">
        <v>291</v>
      </c>
      <c r="D64" s="2" t="s">
        <v>292</v>
      </c>
      <c r="E64" s="2" t="s">
        <v>293</v>
      </c>
      <c r="F64" s="2" t="s">
        <v>46</v>
      </c>
      <c r="G64" s="2" t="s">
        <v>110</v>
      </c>
    </row>
    <row r="65">
      <c r="A65" s="2" t="s">
        <v>223</v>
      </c>
      <c r="B65" s="2" t="s">
        <v>294</v>
      </c>
      <c r="C65" s="2" t="s">
        <v>295</v>
      </c>
      <c r="D65" s="2" t="s">
        <v>296</v>
      </c>
      <c r="E65" s="2" t="s">
        <v>297</v>
      </c>
      <c r="F65" s="2" t="s">
        <v>46</v>
      </c>
      <c r="G65" s="2" t="s">
        <v>110</v>
      </c>
    </row>
    <row r="66">
      <c r="A66" s="2" t="s">
        <v>223</v>
      </c>
      <c r="B66" s="2" t="s">
        <v>298</v>
      </c>
      <c r="C66" s="2" t="s">
        <v>299</v>
      </c>
      <c r="D66" s="2" t="s">
        <v>300</v>
      </c>
      <c r="E66" s="2" t="s">
        <v>301</v>
      </c>
      <c r="F66" s="2" t="s">
        <v>46</v>
      </c>
      <c r="G66" s="2" t="s">
        <v>110</v>
      </c>
    </row>
    <row r="67">
      <c r="A67" s="2" t="s">
        <v>223</v>
      </c>
      <c r="B67" s="2" t="s">
        <v>302</v>
      </c>
      <c r="C67" s="2" t="s">
        <v>303</v>
      </c>
      <c r="D67" s="2" t="s">
        <v>304</v>
      </c>
      <c r="E67" s="2" t="s">
        <v>305</v>
      </c>
      <c r="F67" s="2" t="s">
        <v>46</v>
      </c>
      <c r="G67" s="2" t="s">
        <v>110</v>
      </c>
    </row>
    <row r="68">
      <c r="A68" s="2" t="s">
        <v>223</v>
      </c>
      <c r="B68" s="2" t="s">
        <v>306</v>
      </c>
      <c r="C68" s="2" t="s">
        <v>307</v>
      </c>
      <c r="D68" s="2" t="s">
        <v>308</v>
      </c>
      <c r="E68" s="2" t="s">
        <v>309</v>
      </c>
      <c r="F68" s="2" t="s">
        <v>46</v>
      </c>
      <c r="G68" s="2" t="s">
        <v>110</v>
      </c>
    </row>
    <row r="69">
      <c r="A69" s="2" t="s">
        <v>223</v>
      </c>
      <c r="B69" s="2" t="s">
        <v>310</v>
      </c>
      <c r="C69" s="2" t="s">
        <v>311</v>
      </c>
      <c r="D69" s="2" t="s">
        <v>312</v>
      </c>
      <c r="E69" s="2" t="s">
        <v>313</v>
      </c>
      <c r="F69" s="2" t="s">
        <v>72</v>
      </c>
      <c r="G69" s="2" t="s">
        <v>110</v>
      </c>
    </row>
    <row r="70">
      <c r="A70" s="2" t="s">
        <v>223</v>
      </c>
      <c r="B70" s="2" t="s">
        <v>314</v>
      </c>
      <c r="C70" s="2" t="s">
        <v>315</v>
      </c>
      <c r="D70" s="2" t="s">
        <v>316</v>
      </c>
      <c r="E70" s="2" t="s">
        <v>317</v>
      </c>
      <c r="F70" s="2" t="s">
        <v>72</v>
      </c>
      <c r="G70" s="2" t="s">
        <v>110</v>
      </c>
    </row>
    <row r="71">
      <c r="A71" s="2" t="s">
        <v>223</v>
      </c>
      <c r="B71" s="2" t="s">
        <v>318</v>
      </c>
      <c r="C71" s="2" t="s">
        <v>319</v>
      </c>
      <c r="D71" s="2" t="s">
        <v>320</v>
      </c>
      <c r="E71" s="2" t="s">
        <v>321</v>
      </c>
      <c r="F71" s="2" t="s">
        <v>72</v>
      </c>
      <c r="G71" s="2" t="s">
        <v>110</v>
      </c>
    </row>
    <row r="72">
      <c r="A72" s="2" t="s">
        <v>223</v>
      </c>
      <c r="B72" s="2" t="s">
        <v>322</v>
      </c>
      <c r="C72" s="2" t="s">
        <v>323</v>
      </c>
      <c r="D72" s="2" t="s">
        <v>324</v>
      </c>
      <c r="E72" s="2" t="s">
        <v>325</v>
      </c>
      <c r="F72" s="2" t="s">
        <v>46</v>
      </c>
      <c r="G72" s="2" t="s">
        <v>326</v>
      </c>
    </row>
    <row r="73">
      <c r="A73" s="2" t="s">
        <v>223</v>
      </c>
      <c r="B73" s="2" t="s">
        <v>327</v>
      </c>
      <c r="C73" s="2" t="s">
        <v>328</v>
      </c>
      <c r="D73" s="2" t="s">
        <v>329</v>
      </c>
      <c r="E73" s="2" t="s">
        <v>330</v>
      </c>
      <c r="F73" s="2" t="s">
        <v>46</v>
      </c>
      <c r="G73" s="2" t="s">
        <v>326</v>
      </c>
    </row>
    <row r="74">
      <c r="A74" s="2" t="s">
        <v>223</v>
      </c>
      <c r="B74" s="2" t="s">
        <v>331</v>
      </c>
      <c r="C74" s="2" t="s">
        <v>332</v>
      </c>
      <c r="D74" s="2" t="s">
        <v>333</v>
      </c>
      <c r="E74" s="2" t="s">
        <v>334</v>
      </c>
      <c r="F74" s="2" t="s">
        <v>72</v>
      </c>
      <c r="G74" s="2" t="s">
        <v>335</v>
      </c>
    </row>
    <row r="75">
      <c r="A75" s="2" t="s">
        <v>336</v>
      </c>
      <c r="B75" s="2" t="s">
        <v>337</v>
      </c>
      <c r="C75" s="2" t="s">
        <v>338</v>
      </c>
      <c r="D75" s="2" t="s">
        <v>339</v>
      </c>
      <c r="E75" s="2" t="s">
        <v>340</v>
      </c>
      <c r="F75" s="2" t="s">
        <v>46</v>
      </c>
      <c r="G75" s="2" t="s">
        <v>110</v>
      </c>
    </row>
    <row r="76">
      <c r="A76" s="2" t="s">
        <v>336</v>
      </c>
      <c r="B76" s="2" t="s">
        <v>341</v>
      </c>
      <c r="C76" s="2" t="s">
        <v>342</v>
      </c>
      <c r="D76" s="2" t="s">
        <v>343</v>
      </c>
      <c r="E76" s="2" t="s">
        <v>344</v>
      </c>
      <c r="F76" s="2" t="s">
        <v>72</v>
      </c>
      <c r="G76" s="2" t="s">
        <v>345</v>
      </c>
    </row>
    <row r="77">
      <c r="A77" s="2" t="s">
        <v>336</v>
      </c>
      <c r="B77" s="2" t="s">
        <v>346</v>
      </c>
      <c r="C77" s="2" t="s">
        <v>347</v>
      </c>
      <c r="D77" s="2" t="s">
        <v>348</v>
      </c>
      <c r="E77" s="2" t="s">
        <v>349</v>
      </c>
      <c r="F77" s="2" t="s">
        <v>46</v>
      </c>
      <c r="G77" s="2" t="s">
        <v>110</v>
      </c>
    </row>
    <row r="78">
      <c r="A78" s="2" t="s">
        <v>336</v>
      </c>
      <c r="B78" s="2" t="s">
        <v>350</v>
      </c>
      <c r="C78" s="2" t="s">
        <v>351</v>
      </c>
      <c r="D78" s="2" t="s">
        <v>352</v>
      </c>
      <c r="E78" s="2" t="s">
        <v>353</v>
      </c>
      <c r="F78" s="2" t="s">
        <v>46</v>
      </c>
      <c r="G78" s="2" t="s">
        <v>110</v>
      </c>
    </row>
    <row r="79">
      <c r="A79" s="2" t="s">
        <v>336</v>
      </c>
      <c r="B79" s="2" t="s">
        <v>354</v>
      </c>
      <c r="C79" s="2" t="s">
        <v>355</v>
      </c>
      <c r="D79" s="2" t="s">
        <v>356</v>
      </c>
      <c r="E79" s="2" t="s">
        <v>357</v>
      </c>
      <c r="F79" s="2" t="s">
        <v>72</v>
      </c>
      <c r="G79" s="2" t="s">
        <v>110</v>
      </c>
    </row>
    <row r="80">
      <c r="A80" s="2" t="s">
        <v>336</v>
      </c>
      <c r="B80" s="2" t="s">
        <v>358</v>
      </c>
      <c r="C80" s="2" t="s">
        <v>359</v>
      </c>
      <c r="D80" s="2" t="s">
        <v>360</v>
      </c>
      <c r="E80" s="2" t="s">
        <v>361</v>
      </c>
      <c r="F80" s="2" t="s">
        <v>72</v>
      </c>
      <c r="G80" s="2" t="s">
        <v>110</v>
      </c>
    </row>
    <row r="81">
      <c r="A81" s="2" t="s">
        <v>336</v>
      </c>
      <c r="B81" s="2" t="s">
        <v>362</v>
      </c>
      <c r="C81" s="2" t="s">
        <v>363</v>
      </c>
      <c r="D81" s="2" t="s">
        <v>364</v>
      </c>
      <c r="E81" s="2" t="s">
        <v>365</v>
      </c>
      <c r="F81" s="2" t="s">
        <v>46</v>
      </c>
      <c r="G81" s="2" t="s">
        <v>110</v>
      </c>
    </row>
    <row r="82">
      <c r="A82" s="2" t="s">
        <v>336</v>
      </c>
      <c r="B82" s="2" t="s">
        <v>366</v>
      </c>
      <c r="C82" s="2" t="s">
        <v>367</v>
      </c>
      <c r="D82" s="2" t="s">
        <v>368</v>
      </c>
      <c r="E82" s="2" t="s">
        <v>369</v>
      </c>
      <c r="F82" s="2" t="s">
        <v>210</v>
      </c>
      <c r="G82" s="2" t="s">
        <v>110</v>
      </c>
    </row>
    <row r="83">
      <c r="A83" s="2" t="s">
        <v>336</v>
      </c>
      <c r="B83" s="2" t="s">
        <v>370</v>
      </c>
      <c r="C83" s="2" t="s">
        <v>371</v>
      </c>
      <c r="D83" s="2" t="s">
        <v>372</v>
      </c>
      <c r="E83" s="2" t="s">
        <v>373</v>
      </c>
      <c r="F83" s="2" t="s">
        <v>46</v>
      </c>
      <c r="G83" s="2" t="s">
        <v>110</v>
      </c>
    </row>
    <row r="84">
      <c r="A84" s="2" t="s">
        <v>336</v>
      </c>
      <c r="B84" s="2" t="s">
        <v>374</v>
      </c>
      <c r="C84" s="2" t="s">
        <v>375</v>
      </c>
      <c r="D84" s="2" t="s">
        <v>376</v>
      </c>
      <c r="E84" s="4" t="s">
        <v>377</v>
      </c>
      <c r="F84" s="2" t="s">
        <v>210</v>
      </c>
      <c r="G84" s="2" t="s">
        <v>378</v>
      </c>
    </row>
    <row r="85">
      <c r="A85" s="2" t="s">
        <v>336</v>
      </c>
      <c r="B85" s="2" t="s">
        <v>379</v>
      </c>
      <c r="C85" s="2" t="s">
        <v>380</v>
      </c>
      <c r="D85" s="2" t="s">
        <v>381</v>
      </c>
      <c r="E85" s="2" t="s">
        <v>382</v>
      </c>
      <c r="F85" s="2" t="s">
        <v>383</v>
      </c>
      <c r="G85" s="2" t="s">
        <v>378</v>
      </c>
    </row>
    <row r="86">
      <c r="A86" s="2" t="s">
        <v>336</v>
      </c>
      <c r="B86" s="2" t="s">
        <v>384</v>
      </c>
      <c r="C86" s="2" t="s">
        <v>385</v>
      </c>
      <c r="D86" s="2" t="s">
        <v>386</v>
      </c>
      <c r="E86" s="4" t="s">
        <v>387</v>
      </c>
      <c r="F86" s="2" t="s">
        <v>210</v>
      </c>
      <c r="G86" s="2" t="s">
        <v>378</v>
      </c>
    </row>
    <row r="87">
      <c r="A87" s="2" t="s">
        <v>336</v>
      </c>
      <c r="B87" s="2" t="s">
        <v>388</v>
      </c>
      <c r="C87" s="2" t="s">
        <v>389</v>
      </c>
      <c r="D87" s="2" t="s">
        <v>390</v>
      </c>
      <c r="E87" s="2" t="s">
        <v>391</v>
      </c>
      <c r="F87" s="2" t="s">
        <v>46</v>
      </c>
      <c r="G87" s="2" t="s">
        <v>378</v>
      </c>
    </row>
    <row r="88">
      <c r="A88" s="2" t="s">
        <v>336</v>
      </c>
      <c r="B88" s="2" t="s">
        <v>392</v>
      </c>
      <c r="C88" s="2" t="s">
        <v>393</v>
      </c>
      <c r="D88" s="2" t="s">
        <v>394</v>
      </c>
      <c r="E88" s="2" t="s">
        <v>395</v>
      </c>
      <c r="F88" s="2" t="s">
        <v>210</v>
      </c>
      <c r="G88" s="2" t="s">
        <v>378</v>
      </c>
    </row>
    <row r="89">
      <c r="A89" s="2" t="s">
        <v>336</v>
      </c>
      <c r="B89" s="2" t="s">
        <v>396</v>
      </c>
      <c r="C89" s="2" t="s">
        <v>397</v>
      </c>
      <c r="D89" s="2" t="s">
        <v>398</v>
      </c>
      <c r="E89" s="2" t="s">
        <v>399</v>
      </c>
      <c r="F89" s="2" t="s">
        <v>46</v>
      </c>
      <c r="G89" s="2" t="s">
        <v>378</v>
      </c>
    </row>
    <row r="90">
      <c r="A90" s="2" t="s">
        <v>336</v>
      </c>
      <c r="B90" s="2" t="s">
        <v>400</v>
      </c>
      <c r="C90" s="2" t="s">
        <v>401</v>
      </c>
      <c r="D90" s="2" t="s">
        <v>402</v>
      </c>
      <c r="E90" s="2" t="s">
        <v>403</v>
      </c>
      <c r="F90" s="2" t="s">
        <v>46</v>
      </c>
      <c r="G90" s="2" t="s">
        <v>378</v>
      </c>
    </row>
    <row r="91">
      <c r="A91" s="2" t="s">
        <v>336</v>
      </c>
      <c r="B91" s="2" t="s">
        <v>404</v>
      </c>
      <c r="C91" s="2" t="s">
        <v>405</v>
      </c>
      <c r="D91" s="2" t="s">
        <v>406</v>
      </c>
      <c r="E91" s="2" t="s">
        <v>407</v>
      </c>
      <c r="F91" s="2" t="s">
        <v>210</v>
      </c>
      <c r="G91" s="2" t="s">
        <v>110</v>
      </c>
    </row>
    <row r="92">
      <c r="A92" s="2" t="s">
        <v>336</v>
      </c>
      <c r="B92" s="2" t="s">
        <v>408</v>
      </c>
      <c r="C92" s="2" t="s">
        <v>409</v>
      </c>
      <c r="D92" s="2" t="s">
        <v>410</v>
      </c>
      <c r="E92" s="2" t="s">
        <v>411</v>
      </c>
      <c r="F92" s="2" t="s">
        <v>46</v>
      </c>
      <c r="G92" s="2" t="s">
        <v>110</v>
      </c>
    </row>
    <row r="93">
      <c r="A93" s="2" t="s">
        <v>336</v>
      </c>
      <c r="B93" s="2" t="s">
        <v>412</v>
      </c>
      <c r="C93" s="2" t="s">
        <v>413</v>
      </c>
      <c r="D93" s="2" t="s">
        <v>414</v>
      </c>
      <c r="E93" s="2" t="s">
        <v>415</v>
      </c>
      <c r="F93" s="2" t="s">
        <v>46</v>
      </c>
      <c r="G93" s="2" t="s">
        <v>110</v>
      </c>
    </row>
    <row r="94">
      <c r="A94" s="2" t="s">
        <v>336</v>
      </c>
      <c r="B94" s="2" t="s">
        <v>416</v>
      </c>
      <c r="C94" s="2" t="s">
        <v>417</v>
      </c>
      <c r="D94" s="2" t="s">
        <v>418</v>
      </c>
      <c r="E94" s="2" t="s">
        <v>419</v>
      </c>
      <c r="F94" s="2" t="s">
        <v>210</v>
      </c>
      <c r="G94" s="2" t="s">
        <v>378</v>
      </c>
    </row>
    <row r="95">
      <c r="A95" s="2" t="s">
        <v>336</v>
      </c>
      <c r="B95" s="2" t="s">
        <v>420</v>
      </c>
      <c r="C95" s="2" t="s">
        <v>421</v>
      </c>
      <c r="D95" s="2" t="s">
        <v>422</v>
      </c>
      <c r="E95" s="4" t="s">
        <v>423</v>
      </c>
      <c r="F95" s="2" t="s">
        <v>210</v>
      </c>
      <c r="G95" s="2" t="s">
        <v>378</v>
      </c>
    </row>
    <row r="96">
      <c r="A96" s="2" t="s">
        <v>336</v>
      </c>
      <c r="B96" s="2" t="s">
        <v>424</v>
      </c>
      <c r="C96" s="2" t="s">
        <v>425</v>
      </c>
      <c r="D96" s="2" t="s">
        <v>426</v>
      </c>
      <c r="E96" s="2" t="s">
        <v>395</v>
      </c>
      <c r="F96" s="2" t="s">
        <v>210</v>
      </c>
      <c r="G96" s="2" t="s">
        <v>378</v>
      </c>
    </row>
    <row r="97">
      <c r="A97" s="2" t="s">
        <v>427</v>
      </c>
      <c r="B97" s="2" t="s">
        <v>428</v>
      </c>
      <c r="C97" s="2" t="s">
        <v>429</v>
      </c>
      <c r="D97" s="2" t="s">
        <v>430</v>
      </c>
      <c r="E97" s="2" t="s">
        <v>431</v>
      </c>
      <c r="F97" s="2" t="s">
        <v>432</v>
      </c>
      <c r="G97" s="2" t="s">
        <v>433</v>
      </c>
    </row>
    <row r="98">
      <c r="A98" s="2" t="s">
        <v>427</v>
      </c>
      <c r="B98" s="2" t="s">
        <v>434</v>
      </c>
      <c r="C98" s="2" t="s">
        <v>435</v>
      </c>
      <c r="D98" s="2" t="s">
        <v>436</v>
      </c>
      <c r="E98" s="2" t="s">
        <v>437</v>
      </c>
      <c r="F98" s="2" t="s">
        <v>46</v>
      </c>
      <c r="G98" s="2" t="s">
        <v>433</v>
      </c>
    </row>
    <row r="99">
      <c r="A99" s="2" t="s">
        <v>427</v>
      </c>
      <c r="B99" s="2" t="s">
        <v>438</v>
      </c>
      <c r="C99" s="2" t="s">
        <v>439</v>
      </c>
      <c r="D99" s="2" t="s">
        <v>440</v>
      </c>
      <c r="E99" s="2" t="s">
        <v>441</v>
      </c>
      <c r="F99" s="2" t="s">
        <v>442</v>
      </c>
      <c r="G99" s="2" t="s">
        <v>433</v>
      </c>
    </row>
    <row r="100">
      <c r="A100" s="2" t="s">
        <v>427</v>
      </c>
      <c r="B100" s="2" t="s">
        <v>443</v>
      </c>
      <c r="C100" s="2" t="s">
        <v>444</v>
      </c>
      <c r="D100" s="2" t="s">
        <v>445</v>
      </c>
      <c r="E100" s="2" t="s">
        <v>446</v>
      </c>
      <c r="F100" s="2" t="s">
        <v>447</v>
      </c>
      <c r="G100" s="2" t="s">
        <v>433</v>
      </c>
    </row>
    <row r="101">
      <c r="A101" s="2" t="s">
        <v>427</v>
      </c>
      <c r="B101" s="2" t="s">
        <v>448</v>
      </c>
      <c r="C101" s="2" t="s">
        <v>449</v>
      </c>
      <c r="D101" s="2" t="s">
        <v>450</v>
      </c>
      <c r="E101" s="2" t="s">
        <v>451</v>
      </c>
      <c r="F101" s="2" t="s">
        <v>46</v>
      </c>
      <c r="G101" s="2" t="s">
        <v>433</v>
      </c>
    </row>
    <row r="102">
      <c r="A102" s="2" t="s">
        <v>427</v>
      </c>
      <c r="B102" s="2" t="s">
        <v>452</v>
      </c>
      <c r="C102" s="2" t="s">
        <v>453</v>
      </c>
      <c r="D102" s="2" t="s">
        <v>454</v>
      </c>
      <c r="E102" s="2" t="s">
        <v>455</v>
      </c>
      <c r="F102" s="2" t="s">
        <v>46</v>
      </c>
      <c r="G102" s="2" t="s">
        <v>433</v>
      </c>
    </row>
    <row r="103">
      <c r="A103" s="2" t="s">
        <v>427</v>
      </c>
      <c r="B103" s="2" t="s">
        <v>456</v>
      </c>
      <c r="C103" s="2" t="s">
        <v>457</v>
      </c>
      <c r="D103" s="2" t="s">
        <v>458</v>
      </c>
      <c r="E103" s="2" t="s">
        <v>459</v>
      </c>
      <c r="F103" s="2" t="s">
        <v>460</v>
      </c>
      <c r="G103" s="2" t="s">
        <v>433</v>
      </c>
    </row>
    <row r="104">
      <c r="A104" s="2" t="s">
        <v>427</v>
      </c>
      <c r="B104" s="2" t="s">
        <v>461</v>
      </c>
      <c r="C104" s="2" t="s">
        <v>462</v>
      </c>
      <c r="D104" s="2" t="s">
        <v>463</v>
      </c>
      <c r="E104" s="2" t="s">
        <v>464</v>
      </c>
      <c r="F104" s="2" t="s">
        <v>46</v>
      </c>
      <c r="G104" s="2" t="s">
        <v>433</v>
      </c>
    </row>
    <row r="105">
      <c r="A105" s="2" t="s">
        <v>427</v>
      </c>
      <c r="B105" s="2" t="s">
        <v>465</v>
      </c>
      <c r="C105" s="2" t="s">
        <v>466</v>
      </c>
      <c r="D105" s="2" t="s">
        <v>467</v>
      </c>
      <c r="E105" s="2" t="s">
        <v>468</v>
      </c>
      <c r="F105" s="2" t="s">
        <v>46</v>
      </c>
      <c r="G105" s="2" t="s">
        <v>433</v>
      </c>
    </row>
    <row r="106">
      <c r="A106" s="2" t="s">
        <v>427</v>
      </c>
      <c r="B106" s="2" t="s">
        <v>469</v>
      </c>
      <c r="C106" s="2" t="s">
        <v>470</v>
      </c>
      <c r="D106" s="2" t="s">
        <v>471</v>
      </c>
      <c r="E106" s="2" t="s">
        <v>472</v>
      </c>
      <c r="F106" s="2" t="s">
        <v>46</v>
      </c>
      <c r="G106" s="2" t="s">
        <v>433</v>
      </c>
    </row>
    <row r="107">
      <c r="A107" s="2" t="s">
        <v>427</v>
      </c>
      <c r="B107" s="2" t="s">
        <v>473</v>
      </c>
      <c r="C107" s="2" t="s">
        <v>474</v>
      </c>
      <c r="D107" s="2" t="s">
        <v>475</v>
      </c>
      <c r="E107" s="2" t="s">
        <v>476</v>
      </c>
      <c r="F107" s="2" t="s">
        <v>46</v>
      </c>
      <c r="G107" s="2" t="s">
        <v>433</v>
      </c>
    </row>
    <row r="108">
      <c r="A108" s="2" t="s">
        <v>427</v>
      </c>
      <c r="B108" s="2" t="s">
        <v>477</v>
      </c>
      <c r="C108" s="2" t="s">
        <v>478</v>
      </c>
      <c r="D108" s="2" t="s">
        <v>479</v>
      </c>
      <c r="E108" s="2" t="s">
        <v>480</v>
      </c>
      <c r="F108" s="2" t="s">
        <v>481</v>
      </c>
      <c r="G108" s="2" t="s">
        <v>78</v>
      </c>
    </row>
    <row r="109">
      <c r="A109" s="2" t="s">
        <v>427</v>
      </c>
      <c r="B109" s="2" t="s">
        <v>482</v>
      </c>
      <c r="C109" s="2" t="s">
        <v>483</v>
      </c>
      <c r="D109" s="2" t="s">
        <v>484</v>
      </c>
      <c r="E109" s="2" t="s">
        <v>485</v>
      </c>
      <c r="F109" s="2" t="s">
        <v>481</v>
      </c>
      <c r="G109" s="2" t="s">
        <v>78</v>
      </c>
    </row>
    <row r="110">
      <c r="A110" s="2" t="s">
        <v>427</v>
      </c>
      <c r="B110" s="2" t="s">
        <v>486</v>
      </c>
      <c r="C110" s="2" t="s">
        <v>487</v>
      </c>
      <c r="D110" s="2" t="s">
        <v>488</v>
      </c>
      <c r="E110" s="2" t="s">
        <v>489</v>
      </c>
      <c r="F110" s="2" t="s">
        <v>481</v>
      </c>
      <c r="G110" s="2" t="s">
        <v>78</v>
      </c>
    </row>
    <row r="111">
      <c r="A111" s="2" t="s">
        <v>427</v>
      </c>
      <c r="B111" s="2" t="s">
        <v>490</v>
      </c>
      <c r="C111" s="2" t="s">
        <v>491</v>
      </c>
      <c r="D111" s="2" t="s">
        <v>492</v>
      </c>
      <c r="E111" s="2" t="s">
        <v>493</v>
      </c>
      <c r="F111" s="2" t="s">
        <v>46</v>
      </c>
      <c r="G111" s="2" t="s">
        <v>433</v>
      </c>
    </row>
    <row r="112">
      <c r="A112" s="2" t="s">
        <v>427</v>
      </c>
      <c r="B112" s="2" t="s">
        <v>494</v>
      </c>
      <c r="C112" s="2" t="s">
        <v>495</v>
      </c>
      <c r="D112" s="2" t="s">
        <v>496</v>
      </c>
      <c r="E112" s="2" t="s">
        <v>497</v>
      </c>
      <c r="F112" s="2" t="s">
        <v>46</v>
      </c>
      <c r="G112" s="2" t="s">
        <v>433</v>
      </c>
    </row>
    <row r="113">
      <c r="A113" s="2" t="s">
        <v>427</v>
      </c>
      <c r="B113" s="2" t="s">
        <v>498</v>
      </c>
      <c r="C113" s="2" t="s">
        <v>499</v>
      </c>
      <c r="D113" s="2" t="s">
        <v>500</v>
      </c>
      <c r="E113" s="2" t="s">
        <v>501</v>
      </c>
      <c r="F113" s="2" t="s">
        <v>502</v>
      </c>
      <c r="G113" s="2" t="s">
        <v>433</v>
      </c>
    </row>
    <row r="114">
      <c r="A114" s="2" t="s">
        <v>427</v>
      </c>
      <c r="B114" s="2" t="s">
        <v>503</v>
      </c>
      <c r="C114" s="2" t="s">
        <v>504</v>
      </c>
      <c r="D114" s="2" t="s">
        <v>505</v>
      </c>
      <c r="E114" s="2" t="s">
        <v>506</v>
      </c>
      <c r="F114" s="2" t="s">
        <v>507</v>
      </c>
      <c r="G114" s="2" t="s">
        <v>433</v>
      </c>
    </row>
    <row r="115">
      <c r="A115" s="2" t="s">
        <v>427</v>
      </c>
      <c r="B115" s="2" t="s">
        <v>508</v>
      </c>
      <c r="C115" s="2" t="s">
        <v>509</v>
      </c>
      <c r="D115" s="2" t="s">
        <v>510</v>
      </c>
      <c r="E115" s="2" t="s">
        <v>511</v>
      </c>
      <c r="F115" s="2" t="s">
        <v>432</v>
      </c>
      <c r="G115" s="2" t="s">
        <v>433</v>
      </c>
    </row>
    <row r="116">
      <c r="A116" s="2" t="s">
        <v>427</v>
      </c>
      <c r="B116" s="2" t="s">
        <v>512</v>
      </c>
      <c r="C116" s="2" t="s">
        <v>513</v>
      </c>
      <c r="D116" s="2" t="s">
        <v>514</v>
      </c>
      <c r="E116" s="2" t="s">
        <v>515</v>
      </c>
      <c r="F116" s="2" t="s">
        <v>210</v>
      </c>
      <c r="G116" s="2" t="s">
        <v>433</v>
      </c>
    </row>
    <row r="117">
      <c r="A117" s="2" t="s">
        <v>427</v>
      </c>
      <c r="B117" s="2" t="s">
        <v>516</v>
      </c>
      <c r="C117" s="2" t="s">
        <v>517</v>
      </c>
      <c r="D117" s="2" t="s">
        <v>518</v>
      </c>
      <c r="E117" s="2" t="s">
        <v>519</v>
      </c>
      <c r="F117" s="2" t="s">
        <v>520</v>
      </c>
      <c r="G117" s="2" t="s">
        <v>433</v>
      </c>
    </row>
    <row r="118">
      <c r="A118" s="2" t="s">
        <v>521</v>
      </c>
      <c r="B118" s="2" t="s">
        <v>522</v>
      </c>
      <c r="C118" s="2" t="s">
        <v>523</v>
      </c>
      <c r="D118" s="2" t="s">
        <v>524</v>
      </c>
      <c r="E118" s="2" t="s">
        <v>525</v>
      </c>
      <c r="F118" s="2" t="s">
        <v>46</v>
      </c>
      <c r="G118" s="2" t="s">
        <v>526</v>
      </c>
    </row>
    <row r="119">
      <c r="A119" s="2" t="s">
        <v>521</v>
      </c>
      <c r="B119" s="2" t="s">
        <v>527</v>
      </c>
      <c r="C119" s="2" t="s">
        <v>528</v>
      </c>
      <c r="D119" s="2" t="s">
        <v>529</v>
      </c>
      <c r="E119" s="2" t="s">
        <v>530</v>
      </c>
      <c r="F119" s="2" t="s">
        <v>46</v>
      </c>
      <c r="G119" s="2" t="s">
        <v>526</v>
      </c>
    </row>
    <row r="120">
      <c r="A120" s="2" t="s">
        <v>521</v>
      </c>
      <c r="B120" s="2" t="s">
        <v>531</v>
      </c>
      <c r="C120" s="2" t="s">
        <v>532</v>
      </c>
      <c r="D120" s="2" t="s">
        <v>533</v>
      </c>
      <c r="E120" s="2" t="s">
        <v>534</v>
      </c>
      <c r="F120" s="2" t="s">
        <v>535</v>
      </c>
      <c r="G120" s="2" t="s">
        <v>526</v>
      </c>
    </row>
    <row r="121">
      <c r="A121" s="2" t="s">
        <v>521</v>
      </c>
      <c r="B121" s="2" t="s">
        <v>536</v>
      </c>
      <c r="C121" s="2" t="s">
        <v>537</v>
      </c>
      <c r="D121" s="2" t="s">
        <v>538</v>
      </c>
      <c r="E121" s="2" t="s">
        <v>539</v>
      </c>
      <c r="F121" s="2" t="s">
        <v>72</v>
      </c>
      <c r="G121" s="2" t="s">
        <v>433</v>
      </c>
    </row>
    <row r="122">
      <c r="A122" s="2" t="s">
        <v>521</v>
      </c>
      <c r="B122" s="2" t="s">
        <v>540</v>
      </c>
      <c r="C122" s="2" t="s">
        <v>541</v>
      </c>
      <c r="D122" s="2" t="s">
        <v>542</v>
      </c>
      <c r="E122" s="2" t="s">
        <v>543</v>
      </c>
      <c r="F122" s="2" t="s">
        <v>46</v>
      </c>
      <c r="G122" s="2" t="s">
        <v>110</v>
      </c>
    </row>
    <row r="123">
      <c r="A123" s="2" t="s">
        <v>521</v>
      </c>
      <c r="B123" s="2" t="s">
        <v>544</v>
      </c>
      <c r="C123" s="2" t="s">
        <v>545</v>
      </c>
      <c r="D123" s="2" t="s">
        <v>546</v>
      </c>
      <c r="E123" s="2" t="s">
        <v>547</v>
      </c>
      <c r="F123" s="2" t="s">
        <v>46</v>
      </c>
      <c r="G123" s="2" t="s">
        <v>110</v>
      </c>
    </row>
    <row r="124">
      <c r="A124" s="2" t="s">
        <v>521</v>
      </c>
      <c r="B124" s="2" t="s">
        <v>548</v>
      </c>
      <c r="C124" s="2" t="s">
        <v>549</v>
      </c>
      <c r="D124" s="2" t="s">
        <v>550</v>
      </c>
      <c r="E124" s="2" t="s">
        <v>551</v>
      </c>
      <c r="F124" s="2" t="s">
        <v>46</v>
      </c>
      <c r="G124" s="2" t="s">
        <v>110</v>
      </c>
    </row>
    <row r="125">
      <c r="A125" s="2" t="s">
        <v>521</v>
      </c>
      <c r="B125" s="2" t="s">
        <v>552</v>
      </c>
      <c r="C125" s="2" t="s">
        <v>553</v>
      </c>
      <c r="D125" s="2" t="s">
        <v>554</v>
      </c>
      <c r="E125" s="2" t="s">
        <v>555</v>
      </c>
      <c r="F125" s="2" t="s">
        <v>12</v>
      </c>
      <c r="G125" s="2" t="s">
        <v>526</v>
      </c>
    </row>
    <row r="126">
      <c r="A126" s="2" t="s">
        <v>521</v>
      </c>
      <c r="B126" s="2" t="s">
        <v>556</v>
      </c>
      <c r="C126" s="2" t="s">
        <v>557</v>
      </c>
      <c r="D126" s="2" t="s">
        <v>558</v>
      </c>
      <c r="E126" s="2" t="s">
        <v>559</v>
      </c>
      <c r="F126" s="2" t="s">
        <v>560</v>
      </c>
      <c r="G126" s="2" t="s">
        <v>526</v>
      </c>
    </row>
    <row r="127">
      <c r="A127" s="2" t="s">
        <v>521</v>
      </c>
      <c r="B127" s="2" t="s">
        <v>561</v>
      </c>
      <c r="C127" s="2" t="s">
        <v>562</v>
      </c>
      <c r="D127" s="2" t="s">
        <v>563</v>
      </c>
      <c r="E127" s="2" t="s">
        <v>564</v>
      </c>
      <c r="F127" s="2" t="s">
        <v>185</v>
      </c>
      <c r="G127" s="2" t="s">
        <v>433</v>
      </c>
    </row>
    <row r="128">
      <c r="A128" s="2" t="s">
        <v>521</v>
      </c>
      <c r="B128" s="2" t="s">
        <v>565</v>
      </c>
      <c r="C128" s="2" t="s">
        <v>566</v>
      </c>
      <c r="D128" s="2" t="s">
        <v>567</v>
      </c>
      <c r="E128" s="5"/>
      <c r="F128" s="6"/>
      <c r="G128" s="5"/>
    </row>
    <row r="129">
      <c r="A129" s="2" t="s">
        <v>521</v>
      </c>
      <c r="B129" s="2" t="s">
        <v>568</v>
      </c>
      <c r="C129" s="2" t="s">
        <v>569</v>
      </c>
      <c r="D129" s="2" t="s">
        <v>570</v>
      </c>
      <c r="E129" s="2" t="s">
        <v>571</v>
      </c>
      <c r="F129" s="2" t="s">
        <v>210</v>
      </c>
      <c r="G129" s="2" t="s">
        <v>433</v>
      </c>
    </row>
    <row r="130">
      <c r="A130" s="2" t="s">
        <v>572</v>
      </c>
      <c r="B130" s="2" t="s">
        <v>573</v>
      </c>
      <c r="C130" s="2" t="s">
        <v>574</v>
      </c>
      <c r="D130" s="2" t="s">
        <v>575</v>
      </c>
      <c r="E130" s="2" t="s">
        <v>576</v>
      </c>
      <c r="F130" s="2" t="s">
        <v>12</v>
      </c>
      <c r="G130" s="2" t="s">
        <v>577</v>
      </c>
    </row>
    <row r="131">
      <c r="A131" s="2" t="s">
        <v>572</v>
      </c>
      <c r="B131" s="2" t="s">
        <v>578</v>
      </c>
      <c r="C131" s="2" t="s">
        <v>579</v>
      </c>
      <c r="D131" s="2" t="s">
        <v>580</v>
      </c>
      <c r="E131" s="2" t="s">
        <v>581</v>
      </c>
      <c r="F131" s="2" t="s">
        <v>12</v>
      </c>
      <c r="G131" s="2" t="s">
        <v>577</v>
      </c>
    </row>
    <row r="132">
      <c r="A132" s="2" t="s">
        <v>572</v>
      </c>
      <c r="B132" s="2" t="s">
        <v>582</v>
      </c>
      <c r="C132" s="2" t="s">
        <v>583</v>
      </c>
      <c r="D132" s="2" t="s">
        <v>584</v>
      </c>
      <c r="E132" s="2" t="s">
        <v>585</v>
      </c>
      <c r="F132" s="2" t="s">
        <v>12</v>
      </c>
      <c r="G132" s="2" t="s">
        <v>586</v>
      </c>
    </row>
    <row r="133">
      <c r="A133" s="2" t="s">
        <v>572</v>
      </c>
      <c r="B133" s="2" t="s">
        <v>587</v>
      </c>
      <c r="C133" s="2" t="s">
        <v>588</v>
      </c>
      <c r="D133" s="2" t="s">
        <v>589</v>
      </c>
      <c r="E133" s="2" t="s">
        <v>590</v>
      </c>
      <c r="F133" s="2" t="s">
        <v>46</v>
      </c>
      <c r="G133" s="2" t="s">
        <v>586</v>
      </c>
    </row>
    <row r="134">
      <c r="A134" s="2" t="s">
        <v>572</v>
      </c>
      <c r="B134" s="2" t="s">
        <v>591</v>
      </c>
      <c r="C134" s="2" t="s">
        <v>592</v>
      </c>
      <c r="D134" s="2" t="s">
        <v>593</v>
      </c>
      <c r="E134" s="2" t="s">
        <v>594</v>
      </c>
      <c r="F134" s="2" t="s">
        <v>595</v>
      </c>
      <c r="G134" s="2" t="s">
        <v>586</v>
      </c>
    </row>
    <row r="135">
      <c r="A135" s="2" t="s">
        <v>572</v>
      </c>
      <c r="B135" s="2" t="s">
        <v>596</v>
      </c>
      <c r="C135" s="2" t="s">
        <v>597</v>
      </c>
      <c r="D135" s="2" t="s">
        <v>598</v>
      </c>
      <c r="E135" s="2" t="s">
        <v>581</v>
      </c>
      <c r="F135" s="2" t="s">
        <v>210</v>
      </c>
      <c r="G135" s="2" t="s">
        <v>577</v>
      </c>
    </row>
    <row r="136">
      <c r="A136" s="2" t="s">
        <v>572</v>
      </c>
      <c r="B136" s="2" t="s">
        <v>599</v>
      </c>
      <c r="C136" s="2" t="s">
        <v>600</v>
      </c>
      <c r="D136" s="2" t="s">
        <v>601</v>
      </c>
      <c r="E136" s="2" t="s">
        <v>602</v>
      </c>
      <c r="F136" s="2" t="s">
        <v>46</v>
      </c>
      <c r="G136" s="2" t="s">
        <v>577</v>
      </c>
    </row>
    <row r="137">
      <c r="A137" s="2" t="s">
        <v>572</v>
      </c>
      <c r="B137" s="2" t="s">
        <v>603</v>
      </c>
      <c r="C137" s="2" t="s">
        <v>604</v>
      </c>
      <c r="D137" s="2" t="s">
        <v>605</v>
      </c>
      <c r="E137" s="2" t="s">
        <v>606</v>
      </c>
      <c r="F137" s="2" t="s">
        <v>210</v>
      </c>
      <c r="G137" s="2" t="s">
        <v>577</v>
      </c>
    </row>
    <row r="138">
      <c r="A138" s="2" t="s">
        <v>572</v>
      </c>
      <c r="B138" s="2" t="s">
        <v>607</v>
      </c>
      <c r="C138" s="2" t="s">
        <v>608</v>
      </c>
      <c r="D138" s="2" t="s">
        <v>609</v>
      </c>
      <c r="E138" s="2" t="s">
        <v>610</v>
      </c>
      <c r="F138" s="2" t="s">
        <v>46</v>
      </c>
      <c r="G138" s="2" t="s">
        <v>577</v>
      </c>
    </row>
    <row r="139">
      <c r="A139" s="2" t="s">
        <v>572</v>
      </c>
      <c r="B139" s="2" t="s">
        <v>611</v>
      </c>
      <c r="C139" s="2" t="s">
        <v>612</v>
      </c>
      <c r="D139" s="2" t="s">
        <v>613</v>
      </c>
      <c r="E139" s="2" t="s">
        <v>614</v>
      </c>
      <c r="F139" s="2" t="s">
        <v>12</v>
      </c>
      <c r="G139" s="2" t="s">
        <v>615</v>
      </c>
    </row>
    <row r="140">
      <c r="A140" s="2" t="s">
        <v>572</v>
      </c>
      <c r="B140" s="2" t="s">
        <v>616</v>
      </c>
      <c r="C140" s="2" t="s">
        <v>617</v>
      </c>
      <c r="D140" s="2" t="s">
        <v>618</v>
      </c>
      <c r="E140" s="2" t="s">
        <v>619</v>
      </c>
      <c r="F140" s="2" t="s">
        <v>46</v>
      </c>
      <c r="G140" s="2" t="s">
        <v>615</v>
      </c>
    </row>
    <row r="141">
      <c r="A141" s="2" t="s">
        <v>572</v>
      </c>
      <c r="B141" s="2" t="s">
        <v>620</v>
      </c>
      <c r="C141" s="2" t="s">
        <v>621</v>
      </c>
      <c r="D141" s="2" t="s">
        <v>622</v>
      </c>
      <c r="E141" s="2" t="s">
        <v>623</v>
      </c>
      <c r="F141" s="2" t="s">
        <v>12</v>
      </c>
      <c r="G141" s="2" t="s">
        <v>615</v>
      </c>
    </row>
    <row r="142">
      <c r="A142" s="2" t="s">
        <v>572</v>
      </c>
      <c r="B142" s="2" t="s">
        <v>624</v>
      </c>
      <c r="C142" s="2" t="s">
        <v>625</v>
      </c>
      <c r="D142" s="2" t="s">
        <v>626</v>
      </c>
      <c r="E142" s="2" t="s">
        <v>627</v>
      </c>
      <c r="F142" s="2" t="s">
        <v>46</v>
      </c>
      <c r="G142" s="2" t="s">
        <v>615</v>
      </c>
    </row>
    <row r="143">
      <c r="A143" s="2" t="s">
        <v>628</v>
      </c>
      <c r="B143" s="2" t="s">
        <v>629</v>
      </c>
      <c r="C143" s="2" t="s">
        <v>630</v>
      </c>
      <c r="D143" s="2" t="s">
        <v>631</v>
      </c>
      <c r="E143" s="2" t="s">
        <v>632</v>
      </c>
      <c r="F143" s="2" t="s">
        <v>12</v>
      </c>
      <c r="G143" s="2" t="s">
        <v>110</v>
      </c>
    </row>
    <row r="144">
      <c r="A144" s="2" t="s">
        <v>628</v>
      </c>
      <c r="B144" s="2" t="s">
        <v>633</v>
      </c>
      <c r="C144" s="2" t="s">
        <v>634</v>
      </c>
      <c r="D144" s="2" t="s">
        <v>635</v>
      </c>
      <c r="E144" s="2" t="s">
        <v>636</v>
      </c>
      <c r="F144" s="2" t="s">
        <v>12</v>
      </c>
      <c r="G144" s="2" t="s">
        <v>110</v>
      </c>
    </row>
    <row r="145">
      <c r="A145" s="2" t="s">
        <v>628</v>
      </c>
      <c r="B145" s="2" t="s">
        <v>637</v>
      </c>
      <c r="C145" s="2" t="s">
        <v>638</v>
      </c>
      <c r="D145" s="2" t="s">
        <v>639</v>
      </c>
      <c r="E145" s="5"/>
      <c r="F145" s="5"/>
      <c r="G145" s="2" t="s">
        <v>640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44.63"/>
    <col collapsed="1" customWidth="1" min="2" max="2" width="18.63"/>
    <col customWidth="1" hidden="1" min="3" max="4" width="9.13" outlineLevel="1"/>
    <col customWidth="1" hidden="1" min="5" max="5" width="19.88" outlineLevel="1"/>
    <col customWidth="1" hidden="1" min="6" max="6" width="11.13" outlineLevel="1"/>
    <col customWidth="1" hidden="1" min="7" max="7" width="14.25" outlineLevel="1"/>
    <col customWidth="1" hidden="1" min="8" max="8" width="12.63" outlineLevel="1"/>
    <col customWidth="1" min="9" max="9" width="21.5"/>
    <col customWidth="1" min="10" max="10" width="14.0"/>
    <col customWidth="1" min="11" max="11" width="21.5"/>
    <col customWidth="1" min="12" max="12" width="40.0"/>
    <col customWidth="1" min="13" max="13" width="12.63"/>
    <col customWidth="1" min="14" max="15" width="15.63"/>
    <col customWidth="1" min="16" max="16" width="14.38"/>
    <col customWidth="1" min="17" max="17" width="15.38"/>
    <col customWidth="1" min="18" max="18" width="12.5"/>
    <col customWidth="1" min="19" max="19" width="14.38"/>
    <col customWidth="1" min="20" max="20" width="22.63"/>
    <col customWidth="1" min="21" max="21" width="20.88"/>
    <col customWidth="1" hidden="1" min="22" max="22" width="12.63"/>
    <col customWidth="1" hidden="1" min="23" max="23" width="14.0"/>
  </cols>
  <sheetData>
    <row r="1" ht="27.75" customHeight="1">
      <c r="A1" s="7" t="s">
        <v>1</v>
      </c>
      <c r="B1" s="7" t="s">
        <v>0</v>
      </c>
      <c r="C1" s="7" t="s">
        <v>3</v>
      </c>
      <c r="D1" s="7" t="s">
        <v>641</v>
      </c>
      <c r="E1" s="7" t="s">
        <v>2</v>
      </c>
      <c r="F1" s="7" t="s">
        <v>642</v>
      </c>
      <c r="G1" s="7" t="s">
        <v>643</v>
      </c>
      <c r="H1" s="7" t="s">
        <v>644</v>
      </c>
      <c r="I1" s="8" t="s">
        <v>645</v>
      </c>
      <c r="J1" s="7" t="s">
        <v>646</v>
      </c>
      <c r="K1" s="7" t="s">
        <v>647</v>
      </c>
      <c r="L1" s="7" t="s">
        <v>4</v>
      </c>
      <c r="M1" s="7" t="s">
        <v>5</v>
      </c>
      <c r="N1" s="7" t="s">
        <v>648</v>
      </c>
      <c r="O1" s="7" t="s">
        <v>6</v>
      </c>
      <c r="P1" s="7" t="s">
        <v>649</v>
      </c>
      <c r="Q1" s="9" t="s">
        <v>650</v>
      </c>
      <c r="R1" s="9" t="s">
        <v>651</v>
      </c>
      <c r="S1" s="9" t="s">
        <v>652</v>
      </c>
      <c r="T1" s="9" t="s">
        <v>653</v>
      </c>
      <c r="U1" s="9" t="s">
        <v>654</v>
      </c>
      <c r="V1" s="9" t="s">
        <v>655</v>
      </c>
      <c r="W1" s="9" t="s">
        <v>656</v>
      </c>
    </row>
    <row r="2" ht="15.75" customHeight="1">
      <c r="A2" s="10" t="s">
        <v>657</v>
      </c>
      <c r="B2" s="11" t="s">
        <v>427</v>
      </c>
      <c r="C2" s="11" t="s">
        <v>658</v>
      </c>
      <c r="D2" s="11">
        <v>1.0</v>
      </c>
      <c r="E2" s="11" t="s">
        <v>659</v>
      </c>
      <c r="F2" s="11"/>
      <c r="G2" s="11"/>
      <c r="H2" s="11"/>
      <c r="I2" s="11" t="s">
        <v>660</v>
      </c>
      <c r="J2" s="11" t="s">
        <v>661</v>
      </c>
      <c r="K2" s="11"/>
      <c r="L2" s="11" t="s">
        <v>662</v>
      </c>
      <c r="M2" s="12" t="s">
        <v>663</v>
      </c>
      <c r="N2" s="11" t="s">
        <v>664</v>
      </c>
      <c r="O2" s="11" t="s">
        <v>665</v>
      </c>
      <c r="P2" s="11" t="s">
        <v>666</v>
      </c>
      <c r="Q2" s="11" t="s">
        <v>667</v>
      </c>
      <c r="R2" s="11"/>
      <c r="S2" s="11"/>
      <c r="T2" s="11"/>
      <c r="U2" s="11"/>
      <c r="V2" s="11"/>
      <c r="W2" s="10"/>
    </row>
    <row r="3" ht="15.75" customHeight="1">
      <c r="A3" s="10" t="s">
        <v>668</v>
      </c>
      <c r="B3" s="11" t="s">
        <v>427</v>
      </c>
      <c r="C3" s="11" t="s">
        <v>510</v>
      </c>
      <c r="D3" s="11">
        <v>2.0</v>
      </c>
      <c r="E3" s="11" t="s">
        <v>509</v>
      </c>
      <c r="F3" s="11">
        <v>1.0</v>
      </c>
      <c r="G3" s="11">
        <v>1.0</v>
      </c>
      <c r="H3" s="11">
        <v>1.0</v>
      </c>
      <c r="I3" s="11" t="s">
        <v>669</v>
      </c>
      <c r="J3" s="11" t="s">
        <v>661</v>
      </c>
      <c r="K3" s="11" t="s">
        <v>670</v>
      </c>
      <c r="L3" s="11" t="s">
        <v>671</v>
      </c>
      <c r="M3" s="11" t="s">
        <v>432</v>
      </c>
      <c r="N3" s="11" t="s">
        <v>664</v>
      </c>
      <c r="O3" s="11" t="s">
        <v>433</v>
      </c>
      <c r="P3" s="11" t="s">
        <v>110</v>
      </c>
      <c r="Q3" s="11"/>
      <c r="R3" s="11"/>
      <c r="S3" s="11" t="s">
        <v>672</v>
      </c>
      <c r="T3" s="11" t="s">
        <v>673</v>
      </c>
      <c r="U3" s="11" t="s">
        <v>674</v>
      </c>
      <c r="V3" s="11">
        <v>1.0</v>
      </c>
      <c r="W3" s="10">
        <v>-1.0</v>
      </c>
    </row>
    <row r="4" ht="15.75" customHeight="1">
      <c r="A4" s="10" t="s">
        <v>675</v>
      </c>
      <c r="B4" s="11" t="s">
        <v>427</v>
      </c>
      <c r="C4" s="11" t="s">
        <v>430</v>
      </c>
      <c r="D4" s="11">
        <v>3.0</v>
      </c>
      <c r="E4" s="11" t="s">
        <v>429</v>
      </c>
      <c r="F4" s="11">
        <v>1.0</v>
      </c>
      <c r="G4" s="11">
        <v>1.0</v>
      </c>
      <c r="H4" s="11">
        <v>1.0</v>
      </c>
      <c r="I4" s="11" t="s">
        <v>676</v>
      </c>
      <c r="J4" s="11" t="s">
        <v>677</v>
      </c>
      <c r="K4" s="11" t="s">
        <v>678</v>
      </c>
      <c r="L4" s="11" t="s">
        <v>679</v>
      </c>
      <c r="M4" s="11" t="s">
        <v>432</v>
      </c>
      <c r="N4" s="11" t="s">
        <v>664</v>
      </c>
      <c r="O4" s="11" t="s">
        <v>433</v>
      </c>
      <c r="P4" s="11" t="s">
        <v>110</v>
      </c>
      <c r="Q4" s="11"/>
      <c r="R4" s="10"/>
      <c r="S4" s="10" t="s">
        <v>672</v>
      </c>
      <c r="T4" s="10" t="s">
        <v>673</v>
      </c>
      <c r="U4" s="10" t="s">
        <v>674</v>
      </c>
      <c r="V4" s="11">
        <v>1.0</v>
      </c>
      <c r="W4" s="10">
        <v>-1.0</v>
      </c>
    </row>
    <row r="5" ht="15.75" customHeight="1">
      <c r="A5" s="10" t="s">
        <v>680</v>
      </c>
      <c r="B5" s="11" t="s">
        <v>427</v>
      </c>
      <c r="C5" s="11" t="s">
        <v>445</v>
      </c>
      <c r="D5" s="11">
        <v>4.0</v>
      </c>
      <c r="E5" s="11" t="s">
        <v>444</v>
      </c>
      <c r="F5" s="11">
        <v>1.0</v>
      </c>
      <c r="G5" s="11">
        <v>1.0</v>
      </c>
      <c r="H5" s="11">
        <v>1.0</v>
      </c>
      <c r="I5" s="11" t="s">
        <v>681</v>
      </c>
      <c r="J5" s="11" t="s">
        <v>677</v>
      </c>
      <c r="K5" s="11" t="s">
        <v>682</v>
      </c>
      <c r="L5" s="11" t="s">
        <v>683</v>
      </c>
      <c r="M5" s="11" t="s">
        <v>684</v>
      </c>
      <c r="N5" s="11" t="s">
        <v>664</v>
      </c>
      <c r="O5" s="11" t="s">
        <v>433</v>
      </c>
      <c r="P5" s="11" t="s">
        <v>110</v>
      </c>
      <c r="Q5" s="11"/>
      <c r="R5" s="11"/>
      <c r="S5" s="11" t="s">
        <v>672</v>
      </c>
      <c r="T5" s="11" t="s">
        <v>673</v>
      </c>
      <c r="U5" s="11" t="s">
        <v>674</v>
      </c>
      <c r="V5" s="11">
        <v>1.0</v>
      </c>
      <c r="W5" s="10">
        <v>-1.0</v>
      </c>
    </row>
    <row r="6" ht="15.75" customHeight="1">
      <c r="A6" s="10" t="s">
        <v>685</v>
      </c>
      <c r="B6" s="11" t="s">
        <v>427</v>
      </c>
      <c r="C6" s="11" t="s">
        <v>458</v>
      </c>
      <c r="D6" s="11">
        <v>5.0</v>
      </c>
      <c r="E6" s="11" t="s">
        <v>457</v>
      </c>
      <c r="F6" s="11">
        <v>1.0</v>
      </c>
      <c r="G6" s="11">
        <v>1.0</v>
      </c>
      <c r="H6" s="11">
        <v>1.0</v>
      </c>
      <c r="I6" s="11" t="s">
        <v>686</v>
      </c>
      <c r="J6" s="11" t="s">
        <v>677</v>
      </c>
      <c r="K6" s="11" t="s">
        <v>687</v>
      </c>
      <c r="L6" s="11" t="s">
        <v>688</v>
      </c>
      <c r="M6" s="11" t="s">
        <v>460</v>
      </c>
      <c r="N6" s="11" t="s">
        <v>664</v>
      </c>
      <c r="O6" s="11" t="s">
        <v>433</v>
      </c>
      <c r="P6" s="11" t="s">
        <v>110</v>
      </c>
      <c r="Q6" s="11"/>
      <c r="R6" s="11"/>
      <c r="S6" s="11" t="s">
        <v>672</v>
      </c>
      <c r="T6" s="11" t="s">
        <v>673</v>
      </c>
      <c r="U6" s="11" t="s">
        <v>674</v>
      </c>
      <c r="V6" s="11">
        <v>1.0</v>
      </c>
      <c r="W6" s="10">
        <v>-1.0</v>
      </c>
    </row>
    <row r="7" ht="15.75" customHeight="1">
      <c r="A7" s="10" t="s">
        <v>689</v>
      </c>
      <c r="B7" s="11" t="s">
        <v>427</v>
      </c>
      <c r="C7" s="11" t="s">
        <v>450</v>
      </c>
      <c r="D7" s="11">
        <v>6.0</v>
      </c>
      <c r="E7" s="11" t="s">
        <v>449</v>
      </c>
      <c r="F7" s="11">
        <v>1.0</v>
      </c>
      <c r="G7" s="11">
        <v>1.0</v>
      </c>
      <c r="H7" s="11">
        <v>1.0</v>
      </c>
      <c r="I7" s="11" t="s">
        <v>690</v>
      </c>
      <c r="J7" s="11" t="s">
        <v>661</v>
      </c>
      <c r="K7" s="11" t="s">
        <v>691</v>
      </c>
      <c r="L7" s="11" t="s">
        <v>692</v>
      </c>
      <c r="M7" s="11" t="s">
        <v>46</v>
      </c>
      <c r="N7" s="11" t="s">
        <v>664</v>
      </c>
      <c r="O7" s="11" t="s">
        <v>433</v>
      </c>
      <c r="P7" s="11" t="s">
        <v>110</v>
      </c>
      <c r="Q7" s="11"/>
      <c r="R7" s="10"/>
      <c r="S7" s="10">
        <v>0.0</v>
      </c>
      <c r="T7" s="10"/>
      <c r="U7" s="10"/>
      <c r="V7" s="11">
        <v>1.0</v>
      </c>
      <c r="W7" s="10">
        <v>1.0</v>
      </c>
    </row>
    <row r="8" ht="15.75" customHeight="1">
      <c r="A8" s="10" t="s">
        <v>693</v>
      </c>
      <c r="B8" s="11" t="s">
        <v>427</v>
      </c>
      <c r="C8" s="11" t="s">
        <v>454</v>
      </c>
      <c r="D8" s="11">
        <v>7.0</v>
      </c>
      <c r="E8" s="11" t="s">
        <v>453</v>
      </c>
      <c r="F8" s="11">
        <v>1.0</v>
      </c>
      <c r="G8" s="11">
        <v>1.0</v>
      </c>
      <c r="H8" s="11">
        <v>1.0</v>
      </c>
      <c r="I8" s="11" t="s">
        <v>694</v>
      </c>
      <c r="J8" s="11" t="s">
        <v>661</v>
      </c>
      <c r="K8" s="11" t="s">
        <v>695</v>
      </c>
      <c r="L8" s="11" t="s">
        <v>696</v>
      </c>
      <c r="M8" s="11" t="s">
        <v>46</v>
      </c>
      <c r="N8" s="11" t="s">
        <v>664</v>
      </c>
      <c r="O8" s="11" t="s">
        <v>433</v>
      </c>
      <c r="P8" s="11" t="s">
        <v>110</v>
      </c>
      <c r="Q8" s="11"/>
      <c r="R8" s="10"/>
      <c r="S8" s="10">
        <v>0.0</v>
      </c>
      <c r="T8" s="10"/>
      <c r="U8" s="10"/>
      <c r="V8" s="11">
        <v>1.0</v>
      </c>
      <c r="W8" s="10">
        <v>1.0</v>
      </c>
    </row>
    <row r="9" ht="15.75" customHeight="1">
      <c r="A9" s="10" t="s">
        <v>697</v>
      </c>
      <c r="B9" s="11" t="s">
        <v>427</v>
      </c>
      <c r="C9" s="11" t="s">
        <v>505</v>
      </c>
      <c r="D9" s="11">
        <v>8.0</v>
      </c>
      <c r="E9" s="11" t="s">
        <v>504</v>
      </c>
      <c r="F9" s="11">
        <v>1.0</v>
      </c>
      <c r="G9" s="11">
        <v>1.0</v>
      </c>
      <c r="H9" s="11">
        <v>1.0</v>
      </c>
      <c r="I9" s="11" t="s">
        <v>698</v>
      </c>
      <c r="J9" s="11" t="s">
        <v>677</v>
      </c>
      <c r="K9" s="11" t="s">
        <v>699</v>
      </c>
      <c r="L9" s="11" t="s">
        <v>700</v>
      </c>
      <c r="M9" s="11" t="s">
        <v>507</v>
      </c>
      <c r="N9" s="11" t="s">
        <v>664</v>
      </c>
      <c r="O9" s="11" t="s">
        <v>433</v>
      </c>
      <c r="P9" s="11" t="s">
        <v>110</v>
      </c>
      <c r="Q9" s="11"/>
      <c r="R9" s="11"/>
      <c r="S9" s="11" t="s">
        <v>672</v>
      </c>
      <c r="T9" s="11" t="s">
        <v>673</v>
      </c>
      <c r="U9" s="11" t="s">
        <v>674</v>
      </c>
      <c r="V9" s="11">
        <v>1.0</v>
      </c>
      <c r="W9" s="10">
        <v>-1.0</v>
      </c>
    </row>
    <row r="10" ht="15.75" customHeight="1">
      <c r="A10" s="10" t="s">
        <v>701</v>
      </c>
      <c r="B10" s="11" t="s">
        <v>427</v>
      </c>
      <c r="C10" s="11" t="s">
        <v>471</v>
      </c>
      <c r="D10" s="11">
        <v>9.0</v>
      </c>
      <c r="E10" s="11" t="s">
        <v>470</v>
      </c>
      <c r="F10" s="11">
        <v>1.0</v>
      </c>
      <c r="G10" s="11">
        <v>1.0</v>
      </c>
      <c r="H10" s="11">
        <v>1.0</v>
      </c>
      <c r="I10" s="11" t="s">
        <v>702</v>
      </c>
      <c r="J10" s="11" t="s">
        <v>661</v>
      </c>
      <c r="K10" s="11" t="s">
        <v>703</v>
      </c>
      <c r="L10" s="11" t="s">
        <v>472</v>
      </c>
      <c r="M10" s="11" t="s">
        <v>46</v>
      </c>
      <c r="N10" s="11" t="s">
        <v>664</v>
      </c>
      <c r="O10" s="11" t="s">
        <v>433</v>
      </c>
      <c r="P10" s="11" t="s">
        <v>110</v>
      </c>
      <c r="Q10" s="11"/>
      <c r="R10" s="10"/>
      <c r="S10" s="10">
        <v>0.0</v>
      </c>
      <c r="T10" s="10"/>
      <c r="U10" s="10"/>
      <c r="V10" s="11">
        <v>1.0</v>
      </c>
      <c r="W10" s="10">
        <v>1.0</v>
      </c>
    </row>
    <row r="11" ht="15.75" customHeight="1">
      <c r="A11" s="10" t="s">
        <v>704</v>
      </c>
      <c r="B11" s="11" t="s">
        <v>427</v>
      </c>
      <c r="C11" s="11" t="s">
        <v>467</v>
      </c>
      <c r="D11" s="11">
        <v>10.0</v>
      </c>
      <c r="E11" s="11" t="s">
        <v>466</v>
      </c>
      <c r="F11" s="11">
        <v>1.0</v>
      </c>
      <c r="G11" s="11">
        <v>1.0</v>
      </c>
      <c r="H11" s="11">
        <v>1.0</v>
      </c>
      <c r="I11" s="11" t="s">
        <v>705</v>
      </c>
      <c r="J11" s="11" t="s">
        <v>661</v>
      </c>
      <c r="K11" s="11" t="s">
        <v>706</v>
      </c>
      <c r="L11" s="11" t="s">
        <v>468</v>
      </c>
      <c r="M11" s="11" t="s">
        <v>46</v>
      </c>
      <c r="N11" s="11" t="s">
        <v>664</v>
      </c>
      <c r="O11" s="11" t="s">
        <v>433</v>
      </c>
      <c r="P11" s="11" t="s">
        <v>110</v>
      </c>
      <c r="Q11" s="11"/>
      <c r="R11" s="10"/>
      <c r="S11" s="10" t="s">
        <v>672</v>
      </c>
      <c r="T11" s="10"/>
      <c r="U11" s="10"/>
      <c r="V11" s="11">
        <v>-1.0</v>
      </c>
      <c r="W11" s="10">
        <v>-1.0</v>
      </c>
    </row>
    <row r="12" ht="15.75" customHeight="1">
      <c r="A12" s="10" t="s">
        <v>707</v>
      </c>
      <c r="B12" s="11" t="s">
        <v>427</v>
      </c>
      <c r="C12" s="11" t="s">
        <v>488</v>
      </c>
      <c r="D12" s="11">
        <v>11.0</v>
      </c>
      <c r="E12" s="11" t="s">
        <v>487</v>
      </c>
      <c r="F12" s="11">
        <v>1.0</v>
      </c>
      <c r="G12" s="11">
        <v>1.0</v>
      </c>
      <c r="H12" s="11">
        <v>1.0</v>
      </c>
      <c r="I12" s="11" t="s">
        <v>708</v>
      </c>
      <c r="J12" s="11" t="s">
        <v>661</v>
      </c>
      <c r="K12" s="11" t="s">
        <v>709</v>
      </c>
      <c r="L12" s="11" t="s">
        <v>710</v>
      </c>
      <c r="M12" s="11" t="s">
        <v>711</v>
      </c>
      <c r="N12" s="11" t="s">
        <v>712</v>
      </c>
      <c r="O12" s="13" t="s">
        <v>713</v>
      </c>
      <c r="P12" s="11" t="s">
        <v>666</v>
      </c>
      <c r="Q12" s="11" t="s">
        <v>714</v>
      </c>
      <c r="R12" s="10"/>
      <c r="S12" s="10"/>
      <c r="T12" s="10"/>
      <c r="U12" s="10"/>
      <c r="V12" s="11">
        <v>1.0</v>
      </c>
      <c r="W12" s="10">
        <v>1.0</v>
      </c>
    </row>
    <row r="13" ht="15.75" customHeight="1">
      <c r="A13" s="10" t="s">
        <v>715</v>
      </c>
      <c r="B13" s="11" t="s">
        <v>427</v>
      </c>
      <c r="C13" s="11" t="s">
        <v>484</v>
      </c>
      <c r="D13" s="11">
        <v>12.0</v>
      </c>
      <c r="E13" s="11" t="s">
        <v>483</v>
      </c>
      <c r="F13" s="11">
        <v>1.0</v>
      </c>
      <c r="G13" s="11">
        <v>1.0</v>
      </c>
      <c r="H13" s="11">
        <v>1.0</v>
      </c>
      <c r="I13" s="11" t="s">
        <v>716</v>
      </c>
      <c r="J13" s="11" t="s">
        <v>661</v>
      </c>
      <c r="K13" s="11" t="s">
        <v>717</v>
      </c>
      <c r="L13" s="11" t="s">
        <v>718</v>
      </c>
      <c r="M13" s="11" t="s">
        <v>711</v>
      </c>
      <c r="N13" s="11" t="s">
        <v>712</v>
      </c>
      <c r="O13" s="13" t="s">
        <v>719</v>
      </c>
      <c r="P13" s="11" t="s">
        <v>666</v>
      </c>
      <c r="Q13" s="11" t="s">
        <v>720</v>
      </c>
      <c r="R13" s="10"/>
      <c r="S13" s="10"/>
      <c r="T13" s="10"/>
      <c r="U13" s="10"/>
      <c r="V13" s="11">
        <v>1.0</v>
      </c>
      <c r="W13" s="10">
        <v>1.0</v>
      </c>
    </row>
    <row r="14" ht="15.75" customHeight="1">
      <c r="A14" s="10" t="s">
        <v>721</v>
      </c>
      <c r="B14" s="11" t="s">
        <v>427</v>
      </c>
      <c r="C14" s="11" t="s">
        <v>479</v>
      </c>
      <c r="D14" s="11">
        <v>13.0</v>
      </c>
      <c r="E14" s="11" t="s">
        <v>478</v>
      </c>
      <c r="F14" s="11">
        <v>1.0</v>
      </c>
      <c r="G14" s="11">
        <v>1.0</v>
      </c>
      <c r="H14" s="11">
        <v>1.0</v>
      </c>
      <c r="I14" s="11" t="s">
        <v>722</v>
      </c>
      <c r="J14" s="11" t="s">
        <v>661</v>
      </c>
      <c r="K14" s="11" t="s">
        <v>723</v>
      </c>
      <c r="L14" s="11" t="s">
        <v>724</v>
      </c>
      <c r="M14" s="11" t="s">
        <v>711</v>
      </c>
      <c r="N14" s="11" t="s">
        <v>712</v>
      </c>
      <c r="O14" s="13" t="s">
        <v>725</v>
      </c>
      <c r="P14" s="11" t="s">
        <v>666</v>
      </c>
      <c r="Q14" s="11" t="s">
        <v>720</v>
      </c>
      <c r="R14" s="14"/>
      <c r="S14" s="14"/>
      <c r="T14" s="10"/>
      <c r="U14" s="10"/>
      <c r="V14" s="11">
        <v>1.0</v>
      </c>
      <c r="W14" s="10">
        <v>1.0</v>
      </c>
    </row>
    <row r="15" ht="15.75" customHeight="1">
      <c r="A15" s="10" t="s">
        <v>726</v>
      </c>
      <c r="B15" s="11" t="s">
        <v>223</v>
      </c>
      <c r="C15" s="11" t="s">
        <v>280</v>
      </c>
      <c r="D15" s="11">
        <v>14.0</v>
      </c>
      <c r="E15" s="11" t="s">
        <v>279</v>
      </c>
      <c r="F15" s="11">
        <v>1.0</v>
      </c>
      <c r="G15" s="11">
        <v>1.0</v>
      </c>
      <c r="H15" s="11">
        <v>0.0</v>
      </c>
      <c r="I15" s="11" t="s">
        <v>727</v>
      </c>
      <c r="J15" s="11" t="s">
        <v>661</v>
      </c>
      <c r="K15" s="11" t="s">
        <v>728</v>
      </c>
      <c r="L15" s="11" t="s">
        <v>729</v>
      </c>
      <c r="M15" s="11" t="s">
        <v>46</v>
      </c>
      <c r="N15" s="11" t="s">
        <v>664</v>
      </c>
      <c r="O15" s="11" t="s">
        <v>110</v>
      </c>
      <c r="P15" s="11" t="s">
        <v>110</v>
      </c>
      <c r="Q15" s="11" t="s">
        <v>730</v>
      </c>
      <c r="R15" s="10"/>
      <c r="S15" s="10">
        <v>100.0</v>
      </c>
      <c r="T15" s="10" t="s">
        <v>673</v>
      </c>
      <c r="U15" s="10" t="s">
        <v>731</v>
      </c>
      <c r="V15" s="11">
        <v>1.0</v>
      </c>
      <c r="W15" s="10">
        <v>-1.0</v>
      </c>
    </row>
    <row r="16" ht="15.75" customHeight="1">
      <c r="A16" s="15" t="s">
        <v>732</v>
      </c>
      <c r="B16" s="11" t="s">
        <v>223</v>
      </c>
      <c r="C16" s="11" t="s">
        <v>249</v>
      </c>
      <c r="D16" s="11">
        <v>15.0</v>
      </c>
      <c r="E16" s="11" t="s">
        <v>248</v>
      </c>
      <c r="F16" s="11">
        <v>1.0</v>
      </c>
      <c r="G16" s="11">
        <v>1.0</v>
      </c>
      <c r="H16" s="11">
        <v>0.0</v>
      </c>
      <c r="I16" s="11"/>
      <c r="J16" s="11" t="s">
        <v>661</v>
      </c>
      <c r="K16" s="11" t="s">
        <v>733</v>
      </c>
      <c r="L16" s="11" t="s">
        <v>734</v>
      </c>
      <c r="M16" s="11" t="s">
        <v>46</v>
      </c>
      <c r="N16" s="11" t="s">
        <v>664</v>
      </c>
      <c r="O16" s="16" t="s">
        <v>735</v>
      </c>
      <c r="P16" s="11" t="s">
        <v>666</v>
      </c>
      <c r="Q16" s="11" t="s">
        <v>736</v>
      </c>
      <c r="R16" s="10"/>
      <c r="S16" s="10" t="s">
        <v>672</v>
      </c>
      <c r="T16" s="10" t="s">
        <v>673</v>
      </c>
      <c r="U16" s="10" t="s">
        <v>731</v>
      </c>
      <c r="V16" s="11">
        <v>1.0</v>
      </c>
      <c r="W16" s="10"/>
    </row>
    <row r="17" ht="15.75" customHeight="1">
      <c r="A17" s="15" t="s">
        <v>737</v>
      </c>
      <c r="B17" s="11" t="s">
        <v>223</v>
      </c>
      <c r="C17" s="11" t="s">
        <v>324</v>
      </c>
      <c r="D17" s="11">
        <v>16.0</v>
      </c>
      <c r="E17" s="11" t="s">
        <v>323</v>
      </c>
      <c r="F17" s="11">
        <v>1.0</v>
      </c>
      <c r="G17" s="11">
        <v>1.0</v>
      </c>
      <c r="H17" s="11">
        <v>0.0</v>
      </c>
      <c r="I17" s="11"/>
      <c r="J17" s="11" t="s">
        <v>661</v>
      </c>
      <c r="K17" s="11"/>
      <c r="L17" s="17" t="s">
        <v>738</v>
      </c>
      <c r="M17" s="11" t="s">
        <v>46</v>
      </c>
      <c r="N17" s="11" t="s">
        <v>664</v>
      </c>
      <c r="O17" s="16" t="s">
        <v>735</v>
      </c>
      <c r="P17" s="11" t="s">
        <v>666</v>
      </c>
      <c r="Q17" s="11" t="s">
        <v>736</v>
      </c>
      <c r="R17" s="10"/>
      <c r="S17" s="10" t="s">
        <v>672</v>
      </c>
      <c r="T17" s="10" t="s">
        <v>673</v>
      </c>
      <c r="U17" s="10" t="s">
        <v>731</v>
      </c>
      <c r="V17" s="11">
        <v>1.0</v>
      </c>
      <c r="W17" s="10"/>
    </row>
    <row r="18" ht="15.75" customHeight="1">
      <c r="A18" s="10" t="s">
        <v>739</v>
      </c>
      <c r="B18" s="11" t="s">
        <v>223</v>
      </c>
      <c r="C18" s="11" t="s">
        <v>231</v>
      </c>
      <c r="D18" s="11">
        <v>17.0</v>
      </c>
      <c r="E18" s="11" t="s">
        <v>230</v>
      </c>
      <c r="F18" s="11">
        <v>1.0</v>
      </c>
      <c r="G18" s="11">
        <v>1.0</v>
      </c>
      <c r="H18" s="11">
        <v>0.0</v>
      </c>
      <c r="I18" s="11" t="s">
        <v>740</v>
      </c>
      <c r="J18" s="11" t="s">
        <v>661</v>
      </c>
      <c r="K18" s="11" t="s">
        <v>741</v>
      </c>
      <c r="L18" s="11" t="s">
        <v>742</v>
      </c>
      <c r="M18" s="11" t="s">
        <v>46</v>
      </c>
      <c r="N18" s="11" t="s">
        <v>664</v>
      </c>
      <c r="O18" s="11" t="s">
        <v>228</v>
      </c>
      <c r="P18" s="11" t="s">
        <v>110</v>
      </c>
      <c r="Q18" s="11"/>
      <c r="R18" s="10"/>
      <c r="S18" s="10">
        <v>0.0</v>
      </c>
      <c r="T18" s="10"/>
      <c r="U18" s="10"/>
      <c r="V18" s="11">
        <v>1.0</v>
      </c>
      <c r="W18" s="10">
        <v>1.0</v>
      </c>
    </row>
    <row r="19" ht="15.75" customHeight="1">
      <c r="A19" s="10" t="s">
        <v>743</v>
      </c>
      <c r="B19" s="11" t="s">
        <v>223</v>
      </c>
      <c r="C19" s="11" t="s">
        <v>235</v>
      </c>
      <c r="D19" s="11">
        <v>18.0</v>
      </c>
      <c r="E19" s="11" t="s">
        <v>234</v>
      </c>
      <c r="F19" s="11">
        <v>1.0</v>
      </c>
      <c r="G19" s="11">
        <v>1.0</v>
      </c>
      <c r="H19" s="11">
        <v>0.0</v>
      </c>
      <c r="I19" s="11" t="s">
        <v>744</v>
      </c>
      <c r="J19" s="11" t="s">
        <v>661</v>
      </c>
      <c r="K19" s="11" t="s">
        <v>745</v>
      </c>
      <c r="L19" s="11" t="s">
        <v>236</v>
      </c>
      <c r="M19" s="11" t="s">
        <v>46</v>
      </c>
      <c r="N19" s="11" t="s">
        <v>664</v>
      </c>
      <c r="O19" s="11" t="s">
        <v>228</v>
      </c>
      <c r="P19" s="11" t="s">
        <v>110</v>
      </c>
      <c r="Q19" s="11"/>
      <c r="R19" s="10"/>
      <c r="S19" s="10">
        <v>0.0</v>
      </c>
      <c r="T19" s="10"/>
      <c r="U19" s="10"/>
      <c r="V19" s="11">
        <v>1.0</v>
      </c>
      <c r="W19" s="10">
        <v>1.0</v>
      </c>
    </row>
    <row r="20" ht="15.75" customHeight="1">
      <c r="A20" s="10" t="s">
        <v>746</v>
      </c>
      <c r="B20" s="11" t="s">
        <v>223</v>
      </c>
      <c r="C20" s="11" t="s">
        <v>284</v>
      </c>
      <c r="D20" s="11">
        <v>19.0</v>
      </c>
      <c r="E20" s="11" t="s">
        <v>283</v>
      </c>
      <c r="F20" s="11">
        <v>1.0</v>
      </c>
      <c r="G20" s="11">
        <v>1.0</v>
      </c>
      <c r="H20" s="11">
        <v>0.0</v>
      </c>
      <c r="I20" s="11" t="s">
        <v>747</v>
      </c>
      <c r="J20" s="11" t="s">
        <v>661</v>
      </c>
      <c r="K20" s="11" t="s">
        <v>728</v>
      </c>
      <c r="L20" s="11" t="s">
        <v>748</v>
      </c>
      <c r="M20" s="11" t="s">
        <v>46</v>
      </c>
      <c r="N20" s="11" t="s">
        <v>664</v>
      </c>
      <c r="O20" s="11" t="s">
        <v>110</v>
      </c>
      <c r="P20" s="11" t="s">
        <v>110</v>
      </c>
      <c r="Q20" s="11"/>
      <c r="R20" s="10"/>
      <c r="S20" s="10">
        <v>0.0</v>
      </c>
      <c r="T20" s="10"/>
      <c r="U20" s="10"/>
      <c r="V20" s="11">
        <v>1.0</v>
      </c>
      <c r="W20" s="10">
        <v>1.0</v>
      </c>
    </row>
    <row r="21" ht="15.75" customHeight="1">
      <c r="A21" s="10" t="s">
        <v>749</v>
      </c>
      <c r="B21" s="11" t="s">
        <v>223</v>
      </c>
      <c r="C21" s="11" t="s">
        <v>276</v>
      </c>
      <c r="D21" s="11">
        <v>20.0</v>
      </c>
      <c r="E21" s="11" t="s">
        <v>275</v>
      </c>
      <c r="F21" s="11">
        <v>1.0</v>
      </c>
      <c r="G21" s="11">
        <v>1.0</v>
      </c>
      <c r="H21" s="11">
        <v>0.0</v>
      </c>
      <c r="I21" s="11" t="s">
        <v>750</v>
      </c>
      <c r="J21" s="11" t="s">
        <v>661</v>
      </c>
      <c r="K21" s="11" t="s">
        <v>728</v>
      </c>
      <c r="L21" s="11" t="s">
        <v>751</v>
      </c>
      <c r="M21" s="11" t="s">
        <v>46</v>
      </c>
      <c r="N21" s="11" t="s">
        <v>664</v>
      </c>
      <c r="O21" s="11" t="s">
        <v>110</v>
      </c>
      <c r="P21" s="11" t="s">
        <v>110</v>
      </c>
      <c r="Q21" s="11"/>
      <c r="R21" s="10"/>
      <c r="S21" s="10">
        <v>0.0</v>
      </c>
      <c r="T21" s="10"/>
      <c r="U21" s="10"/>
      <c r="V21" s="11">
        <v>1.0</v>
      </c>
      <c r="W21" s="10">
        <v>1.0</v>
      </c>
    </row>
    <row r="22" ht="15.75" customHeight="1">
      <c r="A22" s="10" t="s">
        <v>752</v>
      </c>
      <c r="B22" s="11" t="s">
        <v>223</v>
      </c>
      <c r="C22" s="11" t="s">
        <v>288</v>
      </c>
      <c r="D22" s="11">
        <v>21.0</v>
      </c>
      <c r="E22" s="11" t="s">
        <v>287</v>
      </c>
      <c r="F22" s="11">
        <v>1.0</v>
      </c>
      <c r="G22" s="11">
        <v>1.0</v>
      </c>
      <c r="H22" s="11">
        <v>0.0</v>
      </c>
      <c r="I22" s="11" t="s">
        <v>753</v>
      </c>
      <c r="J22" s="11" t="s">
        <v>661</v>
      </c>
      <c r="K22" s="11" t="s">
        <v>754</v>
      </c>
      <c r="L22" s="11" t="s">
        <v>755</v>
      </c>
      <c r="M22" s="11" t="s">
        <v>46</v>
      </c>
      <c r="N22" s="11" t="s">
        <v>664</v>
      </c>
      <c r="O22" s="11" t="s">
        <v>110</v>
      </c>
      <c r="P22" s="11" t="s">
        <v>110</v>
      </c>
      <c r="Q22" s="11"/>
      <c r="R22" s="10"/>
      <c r="S22" s="10">
        <v>0.0</v>
      </c>
      <c r="T22" s="10"/>
      <c r="U22" s="10"/>
      <c r="V22" s="11">
        <v>1.0</v>
      </c>
      <c r="W22" s="10">
        <v>1.0</v>
      </c>
    </row>
    <row r="23" ht="15.75" customHeight="1">
      <c r="A23" s="10" t="s">
        <v>756</v>
      </c>
      <c r="B23" s="11" t="s">
        <v>223</v>
      </c>
      <c r="C23" s="11" t="s">
        <v>296</v>
      </c>
      <c r="D23" s="11">
        <v>22.0</v>
      </c>
      <c r="E23" s="11" t="s">
        <v>295</v>
      </c>
      <c r="F23" s="11">
        <v>1.0</v>
      </c>
      <c r="G23" s="11">
        <v>1.0</v>
      </c>
      <c r="H23" s="11">
        <v>0.0</v>
      </c>
      <c r="I23" s="11" t="s">
        <v>757</v>
      </c>
      <c r="J23" s="11" t="s">
        <v>661</v>
      </c>
      <c r="K23" s="11" t="s">
        <v>754</v>
      </c>
      <c r="L23" s="11" t="s">
        <v>758</v>
      </c>
      <c r="M23" s="11" t="s">
        <v>46</v>
      </c>
      <c r="N23" s="11" t="s">
        <v>664</v>
      </c>
      <c r="O23" s="11" t="s">
        <v>110</v>
      </c>
      <c r="P23" s="11" t="s">
        <v>110</v>
      </c>
      <c r="Q23" s="11"/>
      <c r="R23" s="10"/>
      <c r="S23" s="10">
        <v>0.0</v>
      </c>
      <c r="T23" s="10"/>
      <c r="U23" s="10"/>
      <c r="V23" s="11">
        <v>1.0</v>
      </c>
      <c r="W23" s="10">
        <v>1.0</v>
      </c>
    </row>
    <row r="24" ht="15.75" customHeight="1">
      <c r="A24" s="10" t="s">
        <v>759</v>
      </c>
      <c r="B24" s="11" t="s">
        <v>223</v>
      </c>
      <c r="C24" s="11" t="s">
        <v>300</v>
      </c>
      <c r="D24" s="11">
        <v>23.0</v>
      </c>
      <c r="E24" s="11" t="s">
        <v>299</v>
      </c>
      <c r="F24" s="11">
        <v>1.0</v>
      </c>
      <c r="G24" s="11">
        <v>1.0</v>
      </c>
      <c r="H24" s="11">
        <v>0.0</v>
      </c>
      <c r="I24" s="11" t="s">
        <v>760</v>
      </c>
      <c r="J24" s="11" t="s">
        <v>661</v>
      </c>
      <c r="K24" s="11" t="s">
        <v>761</v>
      </c>
      <c r="L24" s="11" t="s">
        <v>762</v>
      </c>
      <c r="M24" s="11" t="s">
        <v>46</v>
      </c>
      <c r="N24" s="11" t="s">
        <v>664</v>
      </c>
      <c r="O24" s="11" t="s">
        <v>110</v>
      </c>
      <c r="P24" s="11" t="s">
        <v>110</v>
      </c>
      <c r="Q24" s="11"/>
      <c r="R24" s="10"/>
      <c r="S24" s="10">
        <v>0.0</v>
      </c>
      <c r="T24" s="10"/>
      <c r="U24" s="10"/>
      <c r="V24" s="11">
        <v>1.0</v>
      </c>
      <c r="W24" s="10">
        <v>1.0</v>
      </c>
    </row>
    <row r="25" ht="15.75" customHeight="1">
      <c r="A25" s="10" t="s">
        <v>763</v>
      </c>
      <c r="B25" s="11" t="s">
        <v>223</v>
      </c>
      <c r="C25" s="11" t="s">
        <v>308</v>
      </c>
      <c r="D25" s="11">
        <v>24.0</v>
      </c>
      <c r="E25" s="11" t="s">
        <v>307</v>
      </c>
      <c r="F25" s="11">
        <v>1.0</v>
      </c>
      <c r="G25" s="11">
        <v>1.0</v>
      </c>
      <c r="H25" s="11">
        <v>0.0</v>
      </c>
      <c r="I25" s="11" t="s">
        <v>747</v>
      </c>
      <c r="J25" s="11" t="s">
        <v>661</v>
      </c>
      <c r="K25" s="11" t="s">
        <v>761</v>
      </c>
      <c r="L25" s="11" t="s">
        <v>764</v>
      </c>
      <c r="M25" s="11" t="s">
        <v>46</v>
      </c>
      <c r="N25" s="11" t="s">
        <v>664</v>
      </c>
      <c r="O25" s="11" t="s">
        <v>110</v>
      </c>
      <c r="P25" s="11" t="s">
        <v>110</v>
      </c>
      <c r="Q25" s="11"/>
      <c r="R25" s="10"/>
      <c r="S25" s="10">
        <v>0.0</v>
      </c>
      <c r="T25" s="10"/>
      <c r="U25" s="10"/>
      <c r="V25" s="11">
        <v>1.0</v>
      </c>
      <c r="W25" s="10">
        <v>1.0</v>
      </c>
    </row>
    <row r="26" ht="15.75" customHeight="1">
      <c r="A26" s="10" t="s">
        <v>765</v>
      </c>
      <c r="B26" s="11" t="s">
        <v>223</v>
      </c>
      <c r="C26" s="11" t="s">
        <v>258</v>
      </c>
      <c r="D26" s="11">
        <v>25.0</v>
      </c>
      <c r="E26" s="11" t="s">
        <v>257</v>
      </c>
      <c r="F26" s="11">
        <v>1.0</v>
      </c>
      <c r="G26" s="11">
        <v>1.0</v>
      </c>
      <c r="H26" s="11">
        <v>0.0</v>
      </c>
      <c r="I26" s="11" t="s">
        <v>766</v>
      </c>
      <c r="J26" s="11" t="s">
        <v>661</v>
      </c>
      <c r="K26" s="11" t="s">
        <v>767</v>
      </c>
      <c r="L26" s="11" t="s">
        <v>768</v>
      </c>
      <c r="M26" s="11" t="s">
        <v>46</v>
      </c>
      <c r="N26" s="11" t="s">
        <v>664</v>
      </c>
      <c r="O26" s="11" t="s">
        <v>251</v>
      </c>
      <c r="P26" s="11" t="s">
        <v>666</v>
      </c>
      <c r="Q26" s="11" t="s">
        <v>720</v>
      </c>
      <c r="R26" s="10"/>
      <c r="S26" s="10">
        <v>0.0</v>
      </c>
      <c r="T26" s="10"/>
      <c r="U26" s="10"/>
      <c r="V26" s="11">
        <v>1.0</v>
      </c>
      <c r="W26" s="10">
        <v>1.0</v>
      </c>
    </row>
    <row r="27" ht="15.75" customHeight="1">
      <c r="A27" s="10" t="s">
        <v>769</v>
      </c>
      <c r="B27" s="11" t="s">
        <v>223</v>
      </c>
      <c r="C27" s="11" t="s">
        <v>262</v>
      </c>
      <c r="D27" s="11">
        <v>26.0</v>
      </c>
      <c r="E27" s="11" t="s">
        <v>261</v>
      </c>
      <c r="F27" s="11">
        <v>1.0</v>
      </c>
      <c r="G27" s="11">
        <v>1.0</v>
      </c>
      <c r="H27" s="11">
        <v>0.0</v>
      </c>
      <c r="I27" s="11" t="s">
        <v>770</v>
      </c>
      <c r="J27" s="11" t="s">
        <v>661</v>
      </c>
      <c r="K27" s="11" t="s">
        <v>771</v>
      </c>
      <c r="L27" s="11" t="s">
        <v>772</v>
      </c>
      <c r="M27" s="11" t="s">
        <v>46</v>
      </c>
      <c r="N27" s="11" t="s">
        <v>664</v>
      </c>
      <c r="O27" s="11" t="s">
        <v>110</v>
      </c>
      <c r="P27" s="11" t="s">
        <v>666</v>
      </c>
      <c r="Q27" s="11" t="s">
        <v>720</v>
      </c>
      <c r="R27" s="10"/>
      <c r="S27" s="10">
        <v>0.0</v>
      </c>
      <c r="T27" s="10"/>
      <c r="U27" s="10"/>
      <c r="V27" s="11">
        <v>1.0</v>
      </c>
      <c r="W27" s="10">
        <v>1.0</v>
      </c>
    </row>
    <row r="28" ht="15.75" customHeight="1">
      <c r="A28" s="10" t="s">
        <v>773</v>
      </c>
      <c r="B28" s="11" t="s">
        <v>223</v>
      </c>
      <c r="C28" s="11" t="s">
        <v>239</v>
      </c>
      <c r="D28" s="11">
        <v>27.0</v>
      </c>
      <c r="E28" s="11" t="s">
        <v>238</v>
      </c>
      <c r="F28" s="11">
        <v>1.0</v>
      </c>
      <c r="G28" s="11">
        <v>1.0</v>
      </c>
      <c r="H28" s="11">
        <v>0.0</v>
      </c>
      <c r="I28" s="11" t="s">
        <v>774</v>
      </c>
      <c r="J28" s="11" t="s">
        <v>661</v>
      </c>
      <c r="K28" s="11" t="s">
        <v>775</v>
      </c>
      <c r="L28" s="11" t="s">
        <v>776</v>
      </c>
      <c r="M28" s="11" t="s">
        <v>241</v>
      </c>
      <c r="N28" s="11" t="s">
        <v>664</v>
      </c>
      <c r="O28" s="11" t="s">
        <v>242</v>
      </c>
      <c r="P28" s="11" t="s">
        <v>110</v>
      </c>
      <c r="Q28" s="11"/>
      <c r="R28" s="10"/>
      <c r="S28" s="10">
        <v>0.0</v>
      </c>
      <c r="T28" s="10"/>
      <c r="U28" s="10"/>
      <c r="V28" s="11">
        <v>1.0</v>
      </c>
      <c r="W28" s="10">
        <v>1.0</v>
      </c>
    </row>
    <row r="29" ht="15.75" customHeight="1">
      <c r="A29" s="10" t="s">
        <v>777</v>
      </c>
      <c r="B29" s="11" t="s">
        <v>223</v>
      </c>
      <c r="C29" s="11" t="s">
        <v>245</v>
      </c>
      <c r="D29" s="11">
        <v>28.0</v>
      </c>
      <c r="E29" s="11" t="s">
        <v>244</v>
      </c>
      <c r="F29" s="11">
        <v>1.0</v>
      </c>
      <c r="G29" s="11">
        <v>1.0</v>
      </c>
      <c r="H29" s="11">
        <v>0.0</v>
      </c>
      <c r="I29" s="11" t="s">
        <v>778</v>
      </c>
      <c r="J29" s="11" t="s">
        <v>661</v>
      </c>
      <c r="K29" s="11" t="s">
        <v>779</v>
      </c>
      <c r="L29" s="11" t="s">
        <v>780</v>
      </c>
      <c r="M29" s="11" t="s">
        <v>241</v>
      </c>
      <c r="N29" s="11" t="s">
        <v>664</v>
      </c>
      <c r="O29" s="11" t="s">
        <v>242</v>
      </c>
      <c r="P29" s="11" t="s">
        <v>110</v>
      </c>
      <c r="Q29" s="11"/>
      <c r="R29" s="10"/>
      <c r="S29" s="10">
        <v>0.0</v>
      </c>
      <c r="T29" s="10"/>
      <c r="U29" s="10"/>
      <c r="V29" s="11">
        <v>1.0</v>
      </c>
      <c r="W29" s="10">
        <v>1.0</v>
      </c>
    </row>
    <row r="30" ht="15.75" customHeight="1">
      <c r="A30" s="10" t="s">
        <v>781</v>
      </c>
      <c r="B30" s="11" t="s">
        <v>67</v>
      </c>
      <c r="C30" s="11" t="s">
        <v>271</v>
      </c>
      <c r="D30" s="11">
        <v>29.0</v>
      </c>
      <c r="E30" s="11" t="s">
        <v>270</v>
      </c>
      <c r="F30" s="11">
        <v>1.0</v>
      </c>
      <c r="G30" s="11">
        <v>1.0</v>
      </c>
      <c r="H30" s="11">
        <v>0.0</v>
      </c>
      <c r="I30" s="11" t="s">
        <v>782</v>
      </c>
      <c r="J30" s="11" t="s">
        <v>661</v>
      </c>
      <c r="K30" s="11" t="s">
        <v>783</v>
      </c>
      <c r="L30" s="11" t="s">
        <v>784</v>
      </c>
      <c r="M30" s="11" t="s">
        <v>273</v>
      </c>
      <c r="N30" s="11" t="s">
        <v>712</v>
      </c>
      <c r="O30" s="11" t="s">
        <v>268</v>
      </c>
      <c r="P30" s="11" t="s">
        <v>666</v>
      </c>
      <c r="Q30" s="11" t="s">
        <v>720</v>
      </c>
      <c r="R30" s="10"/>
      <c r="S30" s="10">
        <v>0.0</v>
      </c>
      <c r="T30" s="10"/>
      <c r="U30" s="10"/>
      <c r="V30" s="11">
        <v>1.0</v>
      </c>
      <c r="W30" s="10">
        <v>1.0</v>
      </c>
    </row>
    <row r="31" ht="15.75" customHeight="1">
      <c r="A31" s="10" t="s">
        <v>785</v>
      </c>
      <c r="B31" s="11" t="s">
        <v>223</v>
      </c>
      <c r="C31" s="11" t="s">
        <v>226</v>
      </c>
      <c r="D31" s="11">
        <v>30.0</v>
      </c>
      <c r="E31" s="11" t="s">
        <v>225</v>
      </c>
      <c r="F31" s="11">
        <v>1.0</v>
      </c>
      <c r="G31" s="11">
        <v>1.0</v>
      </c>
      <c r="H31" s="11">
        <v>0.0</v>
      </c>
      <c r="I31" s="11" t="s">
        <v>786</v>
      </c>
      <c r="J31" s="11" t="s">
        <v>661</v>
      </c>
      <c r="K31" s="11" t="s">
        <v>787</v>
      </c>
      <c r="L31" s="11" t="s">
        <v>227</v>
      </c>
      <c r="M31" s="11" t="s">
        <v>46</v>
      </c>
      <c r="N31" s="11" t="s">
        <v>664</v>
      </c>
      <c r="O31" s="11" t="s">
        <v>228</v>
      </c>
      <c r="P31" s="11" t="s">
        <v>110</v>
      </c>
      <c r="Q31" s="11"/>
      <c r="R31" s="10"/>
      <c r="S31" s="10">
        <v>0.0</v>
      </c>
      <c r="T31" s="10"/>
      <c r="U31" s="10"/>
      <c r="V31" s="11">
        <v>1.0</v>
      </c>
      <c r="W31" s="10">
        <v>1.0</v>
      </c>
    </row>
    <row r="32" ht="15.75" customHeight="1">
      <c r="A32" s="10" t="s">
        <v>788</v>
      </c>
      <c r="B32" s="11" t="s">
        <v>336</v>
      </c>
      <c r="C32" s="11" t="s">
        <v>376</v>
      </c>
      <c r="D32" s="11">
        <v>31.0</v>
      </c>
      <c r="E32" s="11" t="s">
        <v>375</v>
      </c>
      <c r="F32" s="11"/>
      <c r="G32" s="11">
        <v>1.0</v>
      </c>
      <c r="H32" s="11">
        <v>0.0</v>
      </c>
      <c r="I32" s="13" t="s">
        <v>789</v>
      </c>
      <c r="J32" s="11" t="s">
        <v>661</v>
      </c>
      <c r="K32" s="11" t="s">
        <v>790</v>
      </c>
      <c r="L32" s="18" t="s">
        <v>791</v>
      </c>
      <c r="M32" s="11" t="s">
        <v>210</v>
      </c>
      <c r="N32" s="11" t="s">
        <v>664</v>
      </c>
      <c r="O32" s="11" t="s">
        <v>378</v>
      </c>
      <c r="P32" s="11" t="s">
        <v>110</v>
      </c>
      <c r="Q32" s="11"/>
      <c r="R32" s="11"/>
      <c r="S32" s="11">
        <v>0.0</v>
      </c>
      <c r="T32" s="11"/>
      <c r="U32" s="11"/>
      <c r="V32" s="11">
        <v>1.0</v>
      </c>
      <c r="W32" s="10">
        <v>1.0</v>
      </c>
    </row>
    <row r="33" ht="15.75" customHeight="1">
      <c r="A33" s="10" t="s">
        <v>792</v>
      </c>
      <c r="B33" s="11" t="s">
        <v>336</v>
      </c>
      <c r="C33" s="11" t="s">
        <v>793</v>
      </c>
      <c r="D33" s="11">
        <v>32.0</v>
      </c>
      <c r="E33" s="11" t="s">
        <v>794</v>
      </c>
      <c r="F33" s="11"/>
      <c r="G33" s="11"/>
      <c r="H33" s="11"/>
      <c r="I33" s="13" t="s">
        <v>795</v>
      </c>
      <c r="J33" s="11" t="s">
        <v>661</v>
      </c>
      <c r="K33" s="11" t="s">
        <v>790</v>
      </c>
      <c r="L33" s="18" t="s">
        <v>796</v>
      </c>
      <c r="M33" s="11" t="s">
        <v>210</v>
      </c>
      <c r="N33" s="11"/>
      <c r="O33" s="11" t="s">
        <v>110</v>
      </c>
      <c r="P33" s="11" t="s">
        <v>110</v>
      </c>
      <c r="Q33" s="11" t="s">
        <v>797</v>
      </c>
      <c r="R33" s="11"/>
      <c r="S33" s="11"/>
      <c r="T33" s="11"/>
      <c r="U33" s="11"/>
      <c r="V33" s="11"/>
      <c r="W33" s="10"/>
    </row>
    <row r="34" ht="15.75" customHeight="1">
      <c r="A34" s="10" t="s">
        <v>798</v>
      </c>
      <c r="B34" s="11" t="s">
        <v>336</v>
      </c>
      <c r="C34" s="11" t="s">
        <v>799</v>
      </c>
      <c r="D34" s="11">
        <v>33.0</v>
      </c>
      <c r="E34" s="11" t="s">
        <v>800</v>
      </c>
      <c r="F34" s="11"/>
      <c r="G34" s="11"/>
      <c r="H34" s="11"/>
      <c r="I34" s="11" t="s">
        <v>801</v>
      </c>
      <c r="J34" s="11" t="s">
        <v>661</v>
      </c>
      <c r="K34" s="11" t="s">
        <v>790</v>
      </c>
      <c r="L34" s="18" t="s">
        <v>796</v>
      </c>
      <c r="M34" s="11" t="s">
        <v>210</v>
      </c>
      <c r="N34" s="11"/>
      <c r="O34" s="11" t="s">
        <v>110</v>
      </c>
      <c r="P34" s="11" t="s">
        <v>110</v>
      </c>
      <c r="Q34" s="11" t="s">
        <v>797</v>
      </c>
      <c r="R34" s="11"/>
      <c r="S34" s="11"/>
      <c r="T34" s="11"/>
      <c r="U34" s="11"/>
      <c r="V34" s="11"/>
      <c r="W34" s="10"/>
    </row>
    <row r="35" ht="15.75" customHeight="1">
      <c r="A35" s="10" t="s">
        <v>802</v>
      </c>
      <c r="B35" s="11" t="s">
        <v>336</v>
      </c>
      <c r="C35" s="11" t="s">
        <v>803</v>
      </c>
      <c r="D35" s="11">
        <v>34.0</v>
      </c>
      <c r="E35" s="11" t="s">
        <v>804</v>
      </c>
      <c r="F35" s="11"/>
      <c r="G35" s="11"/>
      <c r="H35" s="11"/>
      <c r="I35" s="11" t="s">
        <v>805</v>
      </c>
      <c r="J35" s="11" t="s">
        <v>661</v>
      </c>
      <c r="K35" s="11" t="s">
        <v>790</v>
      </c>
      <c r="L35" s="18" t="s">
        <v>796</v>
      </c>
      <c r="M35" s="11" t="s">
        <v>210</v>
      </c>
      <c r="N35" s="11"/>
      <c r="O35" s="11" t="s">
        <v>110</v>
      </c>
      <c r="P35" s="11" t="s">
        <v>110</v>
      </c>
      <c r="Q35" s="11" t="s">
        <v>797</v>
      </c>
      <c r="R35" s="11"/>
      <c r="S35" s="11"/>
      <c r="T35" s="11"/>
      <c r="U35" s="11"/>
      <c r="V35" s="11"/>
      <c r="W35" s="10"/>
    </row>
    <row r="36" ht="15.75" customHeight="1">
      <c r="A36" s="10" t="s">
        <v>806</v>
      </c>
      <c r="B36" s="11" t="s">
        <v>336</v>
      </c>
      <c r="C36" s="11" t="s">
        <v>807</v>
      </c>
      <c r="D36" s="11">
        <v>35.0</v>
      </c>
      <c r="E36" s="11" t="s">
        <v>808</v>
      </c>
      <c r="F36" s="11"/>
      <c r="G36" s="11"/>
      <c r="H36" s="11"/>
      <c r="I36" s="11" t="s">
        <v>809</v>
      </c>
      <c r="J36" s="11" t="s">
        <v>661</v>
      </c>
      <c r="K36" s="11" t="s">
        <v>810</v>
      </c>
      <c r="L36" s="18" t="s">
        <v>811</v>
      </c>
      <c r="M36" s="11" t="s">
        <v>210</v>
      </c>
      <c r="N36" s="11"/>
      <c r="O36" s="11" t="s">
        <v>110</v>
      </c>
      <c r="P36" s="11" t="s">
        <v>110</v>
      </c>
      <c r="Q36" s="11" t="s">
        <v>812</v>
      </c>
      <c r="R36" s="11"/>
      <c r="S36" s="11"/>
      <c r="T36" s="11"/>
      <c r="U36" s="11"/>
      <c r="V36" s="11"/>
      <c r="W36" s="10"/>
    </row>
    <row r="37" ht="15.75" customHeight="1">
      <c r="A37" s="10" t="s">
        <v>813</v>
      </c>
      <c r="B37" s="11" t="s">
        <v>336</v>
      </c>
      <c r="C37" s="11" t="s">
        <v>814</v>
      </c>
      <c r="D37" s="11">
        <v>36.0</v>
      </c>
      <c r="E37" s="11" t="s">
        <v>815</v>
      </c>
      <c r="F37" s="11"/>
      <c r="G37" s="11"/>
      <c r="H37" s="11"/>
      <c r="I37" s="11" t="s">
        <v>816</v>
      </c>
      <c r="J37" s="11" t="s">
        <v>661</v>
      </c>
      <c r="K37" s="11" t="s">
        <v>817</v>
      </c>
      <c r="L37" s="18" t="s">
        <v>818</v>
      </c>
      <c r="M37" s="11" t="s">
        <v>46</v>
      </c>
      <c r="N37" s="11"/>
      <c r="O37" s="11" t="s">
        <v>110</v>
      </c>
      <c r="P37" s="11" t="s">
        <v>666</v>
      </c>
      <c r="Q37" s="11" t="s">
        <v>819</v>
      </c>
      <c r="R37" s="11"/>
      <c r="S37" s="11"/>
      <c r="T37" s="11"/>
      <c r="U37" s="11"/>
      <c r="V37" s="11"/>
      <c r="W37" s="10"/>
    </row>
    <row r="38" ht="15.75" customHeight="1">
      <c r="A38" s="10" t="s">
        <v>820</v>
      </c>
      <c r="B38" s="11" t="s">
        <v>336</v>
      </c>
      <c r="C38" s="11" t="s">
        <v>381</v>
      </c>
      <c r="D38" s="11">
        <v>37.0</v>
      </c>
      <c r="E38" s="11" t="s">
        <v>380</v>
      </c>
      <c r="F38" s="11">
        <v>1.0</v>
      </c>
      <c r="G38" s="11">
        <v>0.0</v>
      </c>
      <c r="H38" s="11">
        <v>0.0</v>
      </c>
      <c r="I38" s="11" t="s">
        <v>821</v>
      </c>
      <c r="J38" s="11" t="s">
        <v>661</v>
      </c>
      <c r="K38" s="11" t="s">
        <v>822</v>
      </c>
      <c r="L38" s="11" t="s">
        <v>823</v>
      </c>
      <c r="M38" s="11" t="s">
        <v>383</v>
      </c>
      <c r="N38" s="11" t="s">
        <v>664</v>
      </c>
      <c r="O38" s="11" t="s">
        <v>378</v>
      </c>
      <c r="P38" s="11" t="s">
        <v>666</v>
      </c>
      <c r="Q38" s="11" t="s">
        <v>812</v>
      </c>
      <c r="R38" s="10"/>
      <c r="S38" s="10"/>
      <c r="T38" s="10" t="s">
        <v>824</v>
      </c>
      <c r="U38" s="10"/>
      <c r="V38" s="11">
        <v>1.0</v>
      </c>
      <c r="W38" s="10">
        <v>1.0</v>
      </c>
    </row>
    <row r="39" ht="15.75" customHeight="1">
      <c r="A39" s="10" t="s">
        <v>825</v>
      </c>
      <c r="B39" s="11" t="s">
        <v>336</v>
      </c>
      <c r="C39" s="11" t="s">
        <v>394</v>
      </c>
      <c r="D39" s="11">
        <v>38.0</v>
      </c>
      <c r="E39" s="11" t="s">
        <v>393</v>
      </c>
      <c r="F39" s="11"/>
      <c r="G39" s="11">
        <v>1.0</v>
      </c>
      <c r="H39" s="11">
        <v>0.0</v>
      </c>
      <c r="I39" s="11" t="s">
        <v>826</v>
      </c>
      <c r="J39" s="11" t="s">
        <v>661</v>
      </c>
      <c r="K39" s="11" t="s">
        <v>827</v>
      </c>
      <c r="L39" s="11" t="s">
        <v>828</v>
      </c>
      <c r="M39" s="11" t="s">
        <v>210</v>
      </c>
      <c r="N39" s="11" t="s">
        <v>664</v>
      </c>
      <c r="O39" s="11" t="s">
        <v>378</v>
      </c>
      <c r="P39" s="11" t="s">
        <v>666</v>
      </c>
      <c r="Q39" s="11"/>
      <c r="R39" s="11"/>
      <c r="S39" s="11">
        <v>0.0</v>
      </c>
      <c r="T39" s="11"/>
      <c r="U39" s="11"/>
      <c r="V39" s="11">
        <v>1.0</v>
      </c>
      <c r="W39" s="10">
        <v>1.0</v>
      </c>
    </row>
    <row r="40" ht="15.75" customHeight="1">
      <c r="A40" s="10" t="s">
        <v>829</v>
      </c>
      <c r="B40" s="11" t="s">
        <v>336</v>
      </c>
      <c r="C40" s="11" t="s">
        <v>339</v>
      </c>
      <c r="D40" s="11">
        <v>39.0</v>
      </c>
      <c r="E40" s="11" t="s">
        <v>338</v>
      </c>
      <c r="F40" s="11">
        <v>1.0</v>
      </c>
      <c r="G40" s="11">
        <v>1.0</v>
      </c>
      <c r="H40" s="11">
        <v>0.0</v>
      </c>
      <c r="I40" s="11" t="s">
        <v>830</v>
      </c>
      <c r="J40" s="11" t="s">
        <v>661</v>
      </c>
      <c r="K40" s="11" t="s">
        <v>831</v>
      </c>
      <c r="L40" s="11" t="s">
        <v>340</v>
      </c>
      <c r="M40" s="11" t="s">
        <v>46</v>
      </c>
      <c r="N40" s="11" t="s">
        <v>664</v>
      </c>
      <c r="O40" s="11" t="s">
        <v>110</v>
      </c>
      <c r="P40" s="11" t="s">
        <v>110</v>
      </c>
      <c r="Q40" s="11"/>
      <c r="R40" s="10"/>
      <c r="S40" s="10" t="s">
        <v>832</v>
      </c>
      <c r="T40" s="10"/>
      <c r="U40" s="10"/>
      <c r="V40" s="11">
        <v>1.0</v>
      </c>
      <c r="W40" s="10">
        <v>1.0</v>
      </c>
    </row>
    <row r="41" ht="15.75" customHeight="1">
      <c r="A41" s="10" t="s">
        <v>833</v>
      </c>
      <c r="B41" s="11" t="s">
        <v>336</v>
      </c>
      <c r="C41" s="11" t="s">
        <v>343</v>
      </c>
      <c r="D41" s="11">
        <v>40.0</v>
      </c>
      <c r="E41" s="11" t="s">
        <v>342</v>
      </c>
      <c r="F41" s="11">
        <v>1.0</v>
      </c>
      <c r="G41" s="11">
        <v>1.0</v>
      </c>
      <c r="H41" s="11">
        <v>0.0</v>
      </c>
      <c r="I41" s="13" t="s">
        <v>834</v>
      </c>
      <c r="J41" s="11" t="s">
        <v>661</v>
      </c>
      <c r="K41" s="11" t="s">
        <v>835</v>
      </c>
      <c r="L41" s="11" t="s">
        <v>836</v>
      </c>
      <c r="M41" s="11" t="s">
        <v>72</v>
      </c>
      <c r="N41" s="11" t="s">
        <v>837</v>
      </c>
      <c r="O41" s="11" t="s">
        <v>345</v>
      </c>
      <c r="P41" s="11" t="s">
        <v>838</v>
      </c>
      <c r="Q41" s="11"/>
      <c r="R41" s="10"/>
      <c r="S41" s="10">
        <v>0.0</v>
      </c>
      <c r="T41" s="10"/>
      <c r="U41" s="10"/>
      <c r="V41" s="11">
        <v>1.0</v>
      </c>
      <c r="W41" s="10">
        <v>1.0</v>
      </c>
    </row>
    <row r="42" ht="15.75" customHeight="1">
      <c r="A42" s="10" t="s">
        <v>839</v>
      </c>
      <c r="B42" s="11" t="s">
        <v>336</v>
      </c>
      <c r="C42" s="11" t="s">
        <v>398</v>
      </c>
      <c r="D42" s="11">
        <v>41.0</v>
      </c>
      <c r="E42" s="11" t="s">
        <v>397</v>
      </c>
      <c r="F42" s="11">
        <v>1.0</v>
      </c>
      <c r="G42" s="11">
        <v>0.0</v>
      </c>
      <c r="H42" s="11">
        <v>0.0</v>
      </c>
      <c r="I42" s="11" t="s">
        <v>840</v>
      </c>
      <c r="J42" s="11" t="s">
        <v>661</v>
      </c>
      <c r="K42" s="11" t="s">
        <v>841</v>
      </c>
      <c r="L42" s="11" t="s">
        <v>842</v>
      </c>
      <c r="M42" s="11" t="s">
        <v>46</v>
      </c>
      <c r="N42" s="11" t="s">
        <v>664</v>
      </c>
      <c r="O42" s="11" t="s">
        <v>378</v>
      </c>
      <c r="P42" s="11" t="s">
        <v>666</v>
      </c>
      <c r="Q42" s="11" t="s">
        <v>720</v>
      </c>
      <c r="R42" s="10"/>
      <c r="S42" s="10"/>
      <c r="T42" s="10"/>
      <c r="U42" s="10"/>
      <c r="V42" s="11">
        <v>1.0</v>
      </c>
      <c r="W42" s="10">
        <v>1.0</v>
      </c>
    </row>
    <row r="43" ht="15.75" customHeight="1">
      <c r="A43" s="10" t="s">
        <v>843</v>
      </c>
      <c r="B43" s="11" t="s">
        <v>336</v>
      </c>
      <c r="C43" s="11" t="s">
        <v>402</v>
      </c>
      <c r="D43" s="11">
        <v>42.0</v>
      </c>
      <c r="E43" s="11" t="s">
        <v>401</v>
      </c>
      <c r="F43" s="11">
        <v>1.0</v>
      </c>
      <c r="G43" s="11">
        <v>0.0</v>
      </c>
      <c r="H43" s="11">
        <v>0.0</v>
      </c>
      <c r="I43" s="19" t="s">
        <v>844</v>
      </c>
      <c r="J43" s="11" t="s">
        <v>661</v>
      </c>
      <c r="K43" s="11" t="s">
        <v>845</v>
      </c>
      <c r="L43" s="11" t="s">
        <v>846</v>
      </c>
      <c r="M43" s="11" t="s">
        <v>46</v>
      </c>
      <c r="N43" s="11" t="s">
        <v>664</v>
      </c>
      <c r="O43" s="11" t="s">
        <v>378</v>
      </c>
      <c r="P43" s="11" t="s">
        <v>666</v>
      </c>
      <c r="Q43" s="11" t="s">
        <v>720</v>
      </c>
      <c r="R43" s="10"/>
      <c r="S43" s="10"/>
      <c r="T43" s="10"/>
      <c r="U43" s="10"/>
      <c r="V43" s="11">
        <v>1.0</v>
      </c>
      <c r="W43" s="10">
        <v>1.0</v>
      </c>
    </row>
    <row r="44" ht="15.75" customHeight="1">
      <c r="A44" s="10" t="s">
        <v>847</v>
      </c>
      <c r="B44" s="11" t="s">
        <v>336</v>
      </c>
      <c r="C44" s="11" t="s">
        <v>410</v>
      </c>
      <c r="D44" s="11">
        <v>43.0</v>
      </c>
      <c r="E44" s="11" t="s">
        <v>409</v>
      </c>
      <c r="F44" s="11">
        <v>1.0</v>
      </c>
      <c r="G44" s="11">
        <v>0.0</v>
      </c>
      <c r="H44" s="11">
        <v>0.0</v>
      </c>
      <c r="I44" s="11" t="s">
        <v>848</v>
      </c>
      <c r="J44" s="11" t="s">
        <v>677</v>
      </c>
      <c r="K44" s="11" t="s">
        <v>849</v>
      </c>
      <c r="L44" s="11" t="s">
        <v>850</v>
      </c>
      <c r="M44" s="11" t="s">
        <v>210</v>
      </c>
      <c r="N44" s="11" t="s">
        <v>664</v>
      </c>
      <c r="O44" s="11" t="s">
        <v>110</v>
      </c>
      <c r="P44" s="11" t="s">
        <v>110</v>
      </c>
      <c r="Q44" s="11"/>
      <c r="R44" s="10"/>
      <c r="S44" s="10"/>
      <c r="T44" s="10"/>
      <c r="U44" s="10" t="s">
        <v>674</v>
      </c>
      <c r="V44" s="11">
        <v>1.0</v>
      </c>
      <c r="W44" s="10">
        <v>1.0</v>
      </c>
    </row>
    <row r="45" ht="15.75" customHeight="1">
      <c r="A45" s="10" t="s">
        <v>851</v>
      </c>
      <c r="B45" s="11" t="s">
        <v>336</v>
      </c>
      <c r="C45" s="11" t="s">
        <v>368</v>
      </c>
      <c r="D45" s="11">
        <v>44.0</v>
      </c>
      <c r="E45" s="11" t="s">
        <v>367</v>
      </c>
      <c r="F45" s="11">
        <v>1.0</v>
      </c>
      <c r="G45" s="11">
        <v>1.0</v>
      </c>
      <c r="H45" s="11">
        <v>0.0</v>
      </c>
      <c r="I45" s="11" t="s">
        <v>852</v>
      </c>
      <c r="J45" s="11" t="s">
        <v>677</v>
      </c>
      <c r="K45" s="11" t="s">
        <v>853</v>
      </c>
      <c r="L45" s="11" t="s">
        <v>854</v>
      </c>
      <c r="M45" s="11" t="s">
        <v>210</v>
      </c>
      <c r="N45" s="11" t="s">
        <v>664</v>
      </c>
      <c r="O45" s="11" t="s">
        <v>110</v>
      </c>
      <c r="P45" s="11" t="s">
        <v>110</v>
      </c>
      <c r="Q45" s="11"/>
      <c r="R45" s="11"/>
      <c r="S45" s="11">
        <v>0.0</v>
      </c>
      <c r="T45" s="11"/>
      <c r="U45" s="11"/>
      <c r="V45" s="11">
        <v>1.0</v>
      </c>
      <c r="W45" s="10">
        <v>-1.0</v>
      </c>
    </row>
    <row r="46" ht="15.75" customHeight="1">
      <c r="A46" s="10" t="s">
        <v>855</v>
      </c>
      <c r="B46" s="11" t="s">
        <v>336</v>
      </c>
      <c r="C46" s="11" t="s">
        <v>856</v>
      </c>
      <c r="D46" s="11">
        <v>45.0</v>
      </c>
      <c r="E46" s="11" t="s">
        <v>857</v>
      </c>
      <c r="F46" s="11">
        <v>1.0</v>
      </c>
      <c r="G46" s="11">
        <v>1.0</v>
      </c>
      <c r="H46" s="11">
        <v>0.0</v>
      </c>
      <c r="I46" s="11" t="s">
        <v>858</v>
      </c>
      <c r="J46" s="11" t="s">
        <v>661</v>
      </c>
      <c r="K46" s="11" t="s">
        <v>859</v>
      </c>
      <c r="L46" s="11" t="s">
        <v>860</v>
      </c>
      <c r="M46" s="11" t="s">
        <v>861</v>
      </c>
      <c r="N46" s="11" t="s">
        <v>664</v>
      </c>
      <c r="O46" s="11" t="s">
        <v>110</v>
      </c>
      <c r="P46" s="11" t="s">
        <v>110</v>
      </c>
      <c r="Q46" s="11"/>
      <c r="R46" s="10"/>
      <c r="S46" s="10" t="s">
        <v>672</v>
      </c>
      <c r="T46" s="10" t="s">
        <v>673</v>
      </c>
      <c r="U46" s="10"/>
      <c r="V46" s="11">
        <v>1.0</v>
      </c>
      <c r="W46" s="10">
        <v>-1.0</v>
      </c>
    </row>
    <row r="47" ht="15.75" customHeight="1">
      <c r="A47" s="10" t="s">
        <v>862</v>
      </c>
      <c r="B47" s="11" t="s">
        <v>336</v>
      </c>
      <c r="C47" s="11" t="s">
        <v>863</v>
      </c>
      <c r="D47" s="11">
        <v>46.0</v>
      </c>
      <c r="E47" s="11" t="s">
        <v>864</v>
      </c>
      <c r="F47" s="11">
        <v>1.0</v>
      </c>
      <c r="G47" s="11">
        <v>1.0</v>
      </c>
      <c r="H47" s="11">
        <v>0.0</v>
      </c>
      <c r="I47" s="11" t="s">
        <v>865</v>
      </c>
      <c r="J47" s="11" t="s">
        <v>661</v>
      </c>
      <c r="K47" s="11" t="s">
        <v>866</v>
      </c>
      <c r="L47" s="11" t="s">
        <v>867</v>
      </c>
      <c r="M47" s="11" t="s">
        <v>46</v>
      </c>
      <c r="N47" s="11" t="s">
        <v>664</v>
      </c>
      <c r="O47" s="11" t="s">
        <v>110</v>
      </c>
      <c r="P47" s="11" t="s">
        <v>110</v>
      </c>
      <c r="Q47" s="11"/>
      <c r="R47" s="10"/>
      <c r="S47" s="10">
        <v>0.0</v>
      </c>
      <c r="T47" s="10"/>
      <c r="U47" s="10"/>
      <c r="V47" s="11">
        <v>1.0</v>
      </c>
      <c r="W47" s="10">
        <v>1.0</v>
      </c>
    </row>
    <row r="48" ht="15.75" customHeight="1">
      <c r="A48" s="10" t="s">
        <v>868</v>
      </c>
      <c r="B48" s="11" t="s">
        <v>336</v>
      </c>
      <c r="C48" s="11" t="s">
        <v>869</v>
      </c>
      <c r="D48" s="11">
        <v>47.0</v>
      </c>
      <c r="E48" s="11" t="s">
        <v>870</v>
      </c>
      <c r="F48" s="11">
        <v>1.0</v>
      </c>
      <c r="G48" s="11">
        <v>1.0</v>
      </c>
      <c r="H48" s="11">
        <v>0.0</v>
      </c>
      <c r="I48" s="11" t="s">
        <v>871</v>
      </c>
      <c r="J48" s="11" t="s">
        <v>661</v>
      </c>
      <c r="K48" s="11" t="s">
        <v>872</v>
      </c>
      <c r="L48" s="11" t="s">
        <v>873</v>
      </c>
      <c r="M48" s="11" t="s">
        <v>46</v>
      </c>
      <c r="N48" s="11" t="s">
        <v>664</v>
      </c>
      <c r="O48" s="11" t="s">
        <v>110</v>
      </c>
      <c r="P48" s="11" t="s">
        <v>110</v>
      </c>
      <c r="Q48" s="11"/>
      <c r="R48" s="10"/>
      <c r="S48" s="10">
        <v>0.0</v>
      </c>
      <c r="T48" s="10"/>
      <c r="U48" s="10"/>
      <c r="V48" s="11">
        <v>1.0</v>
      </c>
      <c r="W48" s="10">
        <v>1.0</v>
      </c>
    </row>
    <row r="49" ht="15.75" customHeight="1">
      <c r="A49" s="10" t="s">
        <v>874</v>
      </c>
      <c r="B49" s="11" t="s">
        <v>336</v>
      </c>
      <c r="C49" s="11" t="s">
        <v>875</v>
      </c>
      <c r="D49" s="11">
        <v>48.0</v>
      </c>
      <c r="E49" s="11" t="s">
        <v>876</v>
      </c>
      <c r="F49" s="11">
        <v>1.0</v>
      </c>
      <c r="G49" s="11">
        <v>1.0</v>
      </c>
      <c r="H49" s="11">
        <v>0.0</v>
      </c>
      <c r="I49" s="11" t="s">
        <v>877</v>
      </c>
      <c r="J49" s="11" t="s">
        <v>661</v>
      </c>
      <c r="K49" s="11" t="s">
        <v>878</v>
      </c>
      <c r="L49" s="11" t="s">
        <v>879</v>
      </c>
      <c r="M49" s="11" t="s">
        <v>46</v>
      </c>
      <c r="N49" s="11" t="s">
        <v>664</v>
      </c>
      <c r="O49" s="11" t="s">
        <v>880</v>
      </c>
      <c r="P49" s="11" t="s">
        <v>666</v>
      </c>
      <c r="Q49" s="11" t="s">
        <v>720</v>
      </c>
      <c r="R49" s="10"/>
      <c r="S49" s="10">
        <v>0.0</v>
      </c>
      <c r="T49" s="10"/>
      <c r="U49" s="10"/>
      <c r="V49" s="11">
        <v>1.0</v>
      </c>
      <c r="W49" s="10">
        <v>1.0</v>
      </c>
    </row>
    <row r="50" ht="15.75" customHeight="1">
      <c r="A50" s="10" t="s">
        <v>881</v>
      </c>
      <c r="B50" s="11" t="s">
        <v>336</v>
      </c>
      <c r="C50" s="11" t="s">
        <v>533</v>
      </c>
      <c r="D50" s="11">
        <v>49.0</v>
      </c>
      <c r="E50" s="11" t="s">
        <v>532</v>
      </c>
      <c r="F50" s="11">
        <v>1.0</v>
      </c>
      <c r="G50" s="11">
        <v>1.0</v>
      </c>
      <c r="H50" s="11">
        <v>0.0</v>
      </c>
      <c r="I50" s="13" t="s">
        <v>882</v>
      </c>
      <c r="J50" s="11" t="s">
        <v>661</v>
      </c>
      <c r="K50" s="11" t="s">
        <v>883</v>
      </c>
      <c r="L50" s="11" t="s">
        <v>534</v>
      </c>
      <c r="M50" s="11" t="s">
        <v>535</v>
      </c>
      <c r="N50" s="11" t="s">
        <v>664</v>
      </c>
      <c r="O50" s="11" t="s">
        <v>526</v>
      </c>
      <c r="P50" s="11" t="s">
        <v>666</v>
      </c>
      <c r="Q50" s="11" t="s">
        <v>720</v>
      </c>
      <c r="R50" s="10"/>
      <c r="S50" s="10">
        <v>0.0</v>
      </c>
      <c r="T50" s="10" t="s">
        <v>884</v>
      </c>
      <c r="U50" s="10"/>
      <c r="V50" s="11">
        <v>1.0</v>
      </c>
      <c r="W50" s="10">
        <v>1.0</v>
      </c>
    </row>
    <row r="51" ht="15.75" customHeight="1">
      <c r="A51" s="10" t="s">
        <v>885</v>
      </c>
      <c r="B51" s="11" t="s">
        <v>336</v>
      </c>
      <c r="C51" s="11" t="s">
        <v>554</v>
      </c>
      <c r="D51" s="11">
        <v>50.0</v>
      </c>
      <c r="E51" s="11" t="s">
        <v>553</v>
      </c>
      <c r="F51" s="11"/>
      <c r="G51" s="11">
        <v>1.0</v>
      </c>
      <c r="H51" s="11">
        <v>0.0</v>
      </c>
      <c r="I51" s="13" t="s">
        <v>886</v>
      </c>
      <c r="J51" s="11" t="s">
        <v>661</v>
      </c>
      <c r="K51" s="20"/>
      <c r="L51" s="11" t="s">
        <v>555</v>
      </c>
      <c r="M51" s="11" t="s">
        <v>12</v>
      </c>
      <c r="N51" s="11" t="s">
        <v>664</v>
      </c>
      <c r="O51" s="11" t="s">
        <v>526</v>
      </c>
      <c r="P51" s="11" t="s">
        <v>666</v>
      </c>
      <c r="Q51" s="11" t="s">
        <v>720</v>
      </c>
      <c r="R51" s="11"/>
      <c r="S51" s="11">
        <v>0.0</v>
      </c>
      <c r="T51" s="11"/>
      <c r="U51" s="11"/>
      <c r="V51" s="11">
        <v>1.0</v>
      </c>
      <c r="W51" s="10">
        <v>1.0</v>
      </c>
    </row>
    <row r="52" ht="15.75" customHeight="1">
      <c r="A52" s="10" t="s">
        <v>887</v>
      </c>
      <c r="B52" s="11" t="s">
        <v>336</v>
      </c>
      <c r="C52" s="11" t="s">
        <v>558</v>
      </c>
      <c r="D52" s="11">
        <v>51.0</v>
      </c>
      <c r="E52" s="11" t="s">
        <v>557</v>
      </c>
      <c r="F52" s="11">
        <v>0.0</v>
      </c>
      <c r="G52" s="11">
        <v>0.0</v>
      </c>
      <c r="H52" s="11">
        <v>0.0</v>
      </c>
      <c r="I52" s="13" t="s">
        <v>888</v>
      </c>
      <c r="J52" s="11" t="s">
        <v>661</v>
      </c>
      <c r="K52" s="20"/>
      <c r="L52" s="11" t="s">
        <v>559</v>
      </c>
      <c r="M52" s="11" t="s">
        <v>560</v>
      </c>
      <c r="N52" s="11" t="s">
        <v>664</v>
      </c>
      <c r="O52" s="11" t="s">
        <v>526</v>
      </c>
      <c r="P52" s="11" t="s">
        <v>666</v>
      </c>
      <c r="Q52" s="11" t="s">
        <v>720</v>
      </c>
      <c r="R52" s="11"/>
      <c r="S52" s="11">
        <v>0.0</v>
      </c>
      <c r="T52" s="11" t="s">
        <v>889</v>
      </c>
      <c r="U52" s="11"/>
      <c r="V52" s="11">
        <v>1.0</v>
      </c>
      <c r="W52" s="10">
        <v>1.0</v>
      </c>
    </row>
    <row r="53" ht="15.75" customHeight="1">
      <c r="A53" s="10" t="s">
        <v>890</v>
      </c>
      <c r="B53" s="11" t="s">
        <v>336</v>
      </c>
      <c r="C53" s="11" t="s">
        <v>891</v>
      </c>
      <c r="D53" s="11">
        <v>52.0</v>
      </c>
      <c r="E53" s="11" t="s">
        <v>892</v>
      </c>
      <c r="F53" s="11"/>
      <c r="G53" s="11"/>
      <c r="H53" s="11"/>
      <c r="I53" s="11" t="s">
        <v>893</v>
      </c>
      <c r="J53" s="11" t="s">
        <v>677</v>
      </c>
      <c r="K53" s="11" t="s">
        <v>894</v>
      </c>
      <c r="L53" s="11" t="s">
        <v>895</v>
      </c>
      <c r="M53" s="11" t="s">
        <v>210</v>
      </c>
      <c r="N53" s="11"/>
      <c r="O53" s="11" t="s">
        <v>110</v>
      </c>
      <c r="P53" s="11" t="s">
        <v>110</v>
      </c>
      <c r="Q53" s="11" t="s">
        <v>896</v>
      </c>
      <c r="R53" s="10"/>
      <c r="S53" s="10"/>
      <c r="T53" s="10"/>
      <c r="U53" s="10"/>
      <c r="V53" s="11"/>
      <c r="W53" s="10"/>
    </row>
    <row r="54" ht="15.75" customHeight="1">
      <c r="A54" s="10" t="s">
        <v>897</v>
      </c>
      <c r="B54" s="11" t="s">
        <v>336</v>
      </c>
      <c r="C54" s="11" t="s">
        <v>898</v>
      </c>
      <c r="D54" s="11">
        <v>53.0</v>
      </c>
      <c r="E54" s="11" t="s">
        <v>899</v>
      </c>
      <c r="F54" s="11"/>
      <c r="G54" s="11"/>
      <c r="H54" s="11"/>
      <c r="I54" s="11" t="s">
        <v>900</v>
      </c>
      <c r="J54" s="11" t="s">
        <v>901</v>
      </c>
      <c r="K54" s="11" t="s">
        <v>902</v>
      </c>
      <c r="L54" s="11" t="s">
        <v>895</v>
      </c>
      <c r="M54" s="11" t="s">
        <v>185</v>
      </c>
      <c r="N54" s="11"/>
      <c r="O54" s="11" t="s">
        <v>110</v>
      </c>
      <c r="P54" s="11" t="s">
        <v>110</v>
      </c>
      <c r="Q54" s="11" t="s">
        <v>896</v>
      </c>
      <c r="R54" s="10"/>
      <c r="S54" s="10"/>
      <c r="T54" s="10"/>
      <c r="U54" s="10"/>
      <c r="V54" s="11"/>
      <c r="W54" s="10"/>
    </row>
    <row r="55" ht="15.75" customHeight="1">
      <c r="A55" s="10" t="s">
        <v>903</v>
      </c>
      <c r="B55" s="11" t="s">
        <v>336</v>
      </c>
      <c r="C55" s="11" t="s">
        <v>904</v>
      </c>
      <c r="D55" s="11">
        <v>54.0</v>
      </c>
      <c r="E55" s="11" t="s">
        <v>905</v>
      </c>
      <c r="F55" s="11"/>
      <c r="G55" s="11"/>
      <c r="H55" s="11"/>
      <c r="I55" s="11" t="s">
        <v>906</v>
      </c>
      <c r="J55" s="11" t="s">
        <v>677</v>
      </c>
      <c r="K55" s="11" t="s">
        <v>907</v>
      </c>
      <c r="L55" s="11" t="s">
        <v>908</v>
      </c>
      <c r="M55" s="11" t="s">
        <v>210</v>
      </c>
      <c r="N55" s="11"/>
      <c r="O55" s="11" t="s">
        <v>110</v>
      </c>
      <c r="P55" s="11" t="s">
        <v>110</v>
      </c>
      <c r="Q55" s="11"/>
      <c r="R55" s="10"/>
      <c r="S55" s="10"/>
      <c r="T55" s="10"/>
      <c r="U55" s="10"/>
      <c r="V55" s="11"/>
      <c r="W55" s="10"/>
    </row>
    <row r="56" ht="15.75" customHeight="1">
      <c r="A56" s="15" t="s">
        <v>909</v>
      </c>
      <c r="B56" s="11" t="s">
        <v>336</v>
      </c>
      <c r="C56" s="11" t="s">
        <v>910</v>
      </c>
      <c r="D56" s="11">
        <v>55.0</v>
      </c>
      <c r="E56" s="11" t="s">
        <v>911</v>
      </c>
      <c r="F56" s="11"/>
      <c r="G56" s="11"/>
      <c r="H56" s="11"/>
      <c r="I56" s="11" t="s">
        <v>912</v>
      </c>
      <c r="J56" s="11" t="s">
        <v>661</v>
      </c>
      <c r="K56" s="11" t="s">
        <v>913</v>
      </c>
      <c r="L56" s="11" t="s">
        <v>914</v>
      </c>
      <c r="M56" s="11" t="s">
        <v>210</v>
      </c>
      <c r="N56" s="11"/>
      <c r="O56" s="11" t="s">
        <v>110</v>
      </c>
      <c r="P56" s="11" t="s">
        <v>110</v>
      </c>
      <c r="Q56" s="11"/>
      <c r="R56" s="10"/>
      <c r="S56" s="10"/>
      <c r="T56" s="10"/>
      <c r="U56" s="10"/>
      <c r="V56" s="11"/>
      <c r="W56" s="10"/>
    </row>
    <row r="57" ht="15.75" customHeight="1">
      <c r="A57" s="10" t="s">
        <v>915</v>
      </c>
      <c r="B57" s="11" t="s">
        <v>572</v>
      </c>
      <c r="C57" s="11" t="s">
        <v>575</v>
      </c>
      <c r="D57" s="11">
        <v>56.0</v>
      </c>
      <c r="E57" s="11" t="s">
        <v>574</v>
      </c>
      <c r="F57" s="11">
        <v>1.0</v>
      </c>
      <c r="G57" s="11">
        <v>1.0</v>
      </c>
      <c r="H57" s="11">
        <v>0.0</v>
      </c>
      <c r="I57" s="11" t="s">
        <v>916</v>
      </c>
      <c r="J57" s="11" t="s">
        <v>677</v>
      </c>
      <c r="K57" s="11" t="s">
        <v>917</v>
      </c>
      <c r="L57" s="11" t="s">
        <v>918</v>
      </c>
      <c r="M57" s="11" t="s">
        <v>12</v>
      </c>
      <c r="N57" s="11" t="s">
        <v>664</v>
      </c>
      <c r="O57" s="11" t="s">
        <v>919</v>
      </c>
      <c r="P57" s="11" t="s">
        <v>666</v>
      </c>
      <c r="Q57" s="11" t="s">
        <v>720</v>
      </c>
      <c r="R57" s="10"/>
      <c r="S57" s="10">
        <v>0.0</v>
      </c>
      <c r="T57" s="10"/>
      <c r="U57" s="10"/>
      <c r="V57" s="11">
        <v>-1.0</v>
      </c>
      <c r="W57" s="10">
        <v>-1.0</v>
      </c>
    </row>
    <row r="58" ht="15.75" customHeight="1">
      <c r="A58" s="10" t="s">
        <v>920</v>
      </c>
      <c r="B58" s="11" t="s">
        <v>572</v>
      </c>
      <c r="C58" s="11" t="s">
        <v>580</v>
      </c>
      <c r="D58" s="11">
        <v>57.0</v>
      </c>
      <c r="E58" s="11" t="s">
        <v>579</v>
      </c>
      <c r="F58" s="11">
        <v>1.0</v>
      </c>
      <c r="G58" s="11">
        <v>1.0</v>
      </c>
      <c r="H58" s="11">
        <v>0.0</v>
      </c>
      <c r="I58" s="11" t="s">
        <v>921</v>
      </c>
      <c r="J58" s="11" t="s">
        <v>677</v>
      </c>
      <c r="K58" s="11" t="s">
        <v>922</v>
      </c>
      <c r="L58" s="11" t="s">
        <v>923</v>
      </c>
      <c r="M58" s="11" t="s">
        <v>12</v>
      </c>
      <c r="N58" s="11" t="s">
        <v>664</v>
      </c>
      <c r="O58" s="11" t="s">
        <v>919</v>
      </c>
      <c r="P58" s="11" t="s">
        <v>666</v>
      </c>
      <c r="Q58" s="11" t="s">
        <v>720</v>
      </c>
      <c r="R58" s="10"/>
      <c r="S58" s="10">
        <v>0.0</v>
      </c>
      <c r="T58" s="10"/>
      <c r="U58" s="10"/>
      <c r="V58" s="11">
        <v>-1.0</v>
      </c>
      <c r="W58" s="10">
        <v>-1.0</v>
      </c>
    </row>
    <row r="59" ht="15.75" customHeight="1">
      <c r="A59" s="10" t="s">
        <v>924</v>
      </c>
      <c r="B59" s="11" t="s">
        <v>572</v>
      </c>
      <c r="C59" s="11" t="s">
        <v>601</v>
      </c>
      <c r="D59" s="11">
        <v>59.0</v>
      </c>
      <c r="E59" s="11" t="s">
        <v>600</v>
      </c>
      <c r="F59" s="11">
        <v>1.0</v>
      </c>
      <c r="G59" s="11">
        <v>0.0</v>
      </c>
      <c r="H59" s="11">
        <v>0.0</v>
      </c>
      <c r="I59" s="13" t="s">
        <v>925</v>
      </c>
      <c r="J59" s="11" t="s">
        <v>677</v>
      </c>
      <c r="K59" s="11" t="s">
        <v>922</v>
      </c>
      <c r="L59" s="11" t="s">
        <v>926</v>
      </c>
      <c r="M59" s="11" t="s">
        <v>210</v>
      </c>
      <c r="N59" s="11" t="s">
        <v>664</v>
      </c>
      <c r="O59" s="11" t="s">
        <v>919</v>
      </c>
      <c r="P59" s="11" t="s">
        <v>666</v>
      </c>
      <c r="Q59" s="11" t="s">
        <v>720</v>
      </c>
      <c r="R59" s="10"/>
      <c r="S59" s="10"/>
      <c r="T59" s="10"/>
      <c r="U59" s="10"/>
      <c r="V59" s="11">
        <v>-1.0</v>
      </c>
      <c r="W59" s="10">
        <v>-1.0</v>
      </c>
    </row>
    <row r="60" ht="15.75" customHeight="1">
      <c r="A60" s="10" t="s">
        <v>927</v>
      </c>
      <c r="B60" s="11" t="s">
        <v>572</v>
      </c>
      <c r="C60" s="11" t="s">
        <v>609</v>
      </c>
      <c r="D60" s="11">
        <v>61.0</v>
      </c>
      <c r="E60" s="11" t="s">
        <v>608</v>
      </c>
      <c r="F60" s="11">
        <v>1.0</v>
      </c>
      <c r="G60" s="11">
        <v>0.0</v>
      </c>
      <c r="H60" s="11">
        <v>0.0</v>
      </c>
      <c r="I60" s="11" t="s">
        <v>928</v>
      </c>
      <c r="J60" s="11" t="s">
        <v>677</v>
      </c>
      <c r="K60" s="11" t="s">
        <v>917</v>
      </c>
      <c r="L60" s="11" t="s">
        <v>929</v>
      </c>
      <c r="M60" s="11" t="s">
        <v>210</v>
      </c>
      <c r="N60" s="11" t="s">
        <v>664</v>
      </c>
      <c r="O60" s="11" t="s">
        <v>919</v>
      </c>
      <c r="P60" s="11" t="s">
        <v>666</v>
      </c>
      <c r="Q60" s="11" t="s">
        <v>720</v>
      </c>
      <c r="R60" s="10"/>
      <c r="S60" s="10"/>
      <c r="T60" s="10"/>
      <c r="U60" s="10"/>
      <c r="V60" s="11">
        <v>-1.0</v>
      </c>
      <c r="W60" s="10">
        <v>-1.0</v>
      </c>
    </row>
    <row r="61" ht="15.75" customHeight="1">
      <c r="A61" s="10" t="s">
        <v>930</v>
      </c>
      <c r="B61" s="11" t="s">
        <v>572</v>
      </c>
      <c r="C61" s="11" t="s">
        <v>584</v>
      </c>
      <c r="D61" s="11">
        <v>62.0</v>
      </c>
      <c r="E61" s="11" t="s">
        <v>583</v>
      </c>
      <c r="F61" s="11">
        <v>1.0</v>
      </c>
      <c r="G61" s="11">
        <v>1.0</v>
      </c>
      <c r="H61" s="11">
        <v>0.0</v>
      </c>
      <c r="I61" s="11" t="s">
        <v>931</v>
      </c>
      <c r="J61" s="11" t="s">
        <v>661</v>
      </c>
      <c r="K61" s="11" t="s">
        <v>932</v>
      </c>
      <c r="L61" s="11" t="s">
        <v>933</v>
      </c>
      <c r="M61" s="11" t="s">
        <v>12</v>
      </c>
      <c r="N61" s="11" t="s">
        <v>664</v>
      </c>
      <c r="O61" s="11" t="s">
        <v>586</v>
      </c>
      <c r="P61" s="11" t="s">
        <v>838</v>
      </c>
      <c r="Q61" s="11"/>
      <c r="R61" s="10"/>
      <c r="S61" s="10">
        <v>0.0</v>
      </c>
      <c r="T61" s="10"/>
      <c r="U61" s="10"/>
      <c r="V61" s="11">
        <v>-1.0</v>
      </c>
      <c r="W61" s="10">
        <v>-1.0</v>
      </c>
    </row>
    <row r="62" ht="15.75" customHeight="1">
      <c r="A62" s="10" t="s">
        <v>934</v>
      </c>
      <c r="B62" s="11" t="s">
        <v>572</v>
      </c>
      <c r="C62" s="11" t="s">
        <v>935</v>
      </c>
      <c r="D62" s="11">
        <v>63.0</v>
      </c>
      <c r="E62" s="11" t="s">
        <v>936</v>
      </c>
      <c r="F62" s="11"/>
      <c r="G62" s="11"/>
      <c r="H62" s="11"/>
      <c r="I62" s="11" t="s">
        <v>937</v>
      </c>
      <c r="J62" s="11" t="s">
        <v>901</v>
      </c>
      <c r="K62" s="11" t="s">
        <v>938</v>
      </c>
      <c r="L62" s="11" t="s">
        <v>939</v>
      </c>
      <c r="M62" s="11" t="s">
        <v>12</v>
      </c>
      <c r="N62" s="11"/>
      <c r="O62" s="11" t="s">
        <v>940</v>
      </c>
      <c r="P62" s="11" t="s">
        <v>110</v>
      </c>
      <c r="Q62" s="11"/>
      <c r="R62" s="10"/>
      <c r="S62" s="10"/>
      <c r="T62" s="10"/>
      <c r="U62" s="10"/>
      <c r="V62" s="11"/>
      <c r="W62" s="10"/>
    </row>
    <row r="63" ht="15.75" customHeight="1">
      <c r="A63" s="10" t="s">
        <v>941</v>
      </c>
      <c r="B63" s="11" t="s">
        <v>572</v>
      </c>
      <c r="C63" s="11" t="s">
        <v>613</v>
      </c>
      <c r="D63" s="11">
        <v>64.0</v>
      </c>
      <c r="E63" s="11" t="s">
        <v>612</v>
      </c>
      <c r="F63" s="11">
        <v>1.0</v>
      </c>
      <c r="G63" s="11">
        <v>1.0</v>
      </c>
      <c r="H63" s="11">
        <v>0.0</v>
      </c>
      <c r="I63" s="13" t="s">
        <v>942</v>
      </c>
      <c r="J63" s="11" t="s">
        <v>901</v>
      </c>
      <c r="K63" s="11" t="s">
        <v>943</v>
      </c>
      <c r="L63" s="11" t="s">
        <v>944</v>
      </c>
      <c r="M63" s="11" t="s">
        <v>12</v>
      </c>
      <c r="N63" s="11" t="s">
        <v>664</v>
      </c>
      <c r="O63" s="11" t="s">
        <v>945</v>
      </c>
      <c r="P63" s="11" t="s">
        <v>666</v>
      </c>
      <c r="Q63" s="11" t="s">
        <v>720</v>
      </c>
      <c r="R63" s="11"/>
      <c r="S63" s="11">
        <v>0.0</v>
      </c>
      <c r="T63" s="11"/>
      <c r="U63" s="11"/>
      <c r="V63" s="11">
        <v>-1.0</v>
      </c>
      <c r="W63" s="10">
        <v>-1.0</v>
      </c>
    </row>
    <row r="64" ht="15.75" customHeight="1">
      <c r="A64" s="10" t="s">
        <v>946</v>
      </c>
      <c r="B64" s="11" t="s">
        <v>67</v>
      </c>
      <c r="C64" s="11" t="s">
        <v>947</v>
      </c>
      <c r="D64" s="11">
        <v>66.0</v>
      </c>
      <c r="E64" s="11" t="s">
        <v>948</v>
      </c>
      <c r="F64" s="11">
        <v>1.0</v>
      </c>
      <c r="G64" s="11">
        <v>1.0</v>
      </c>
      <c r="H64" s="11">
        <v>0.0</v>
      </c>
      <c r="I64" s="13" t="s">
        <v>949</v>
      </c>
      <c r="J64" s="11" t="s">
        <v>661</v>
      </c>
      <c r="K64" s="11" t="s">
        <v>950</v>
      </c>
      <c r="L64" s="11" t="s">
        <v>951</v>
      </c>
      <c r="M64" s="11" t="s">
        <v>72</v>
      </c>
      <c r="N64" s="11" t="s">
        <v>837</v>
      </c>
      <c r="O64" s="11" t="s">
        <v>268</v>
      </c>
      <c r="P64" s="11" t="s">
        <v>666</v>
      </c>
      <c r="Q64" s="11" t="s">
        <v>720</v>
      </c>
      <c r="R64" s="10"/>
      <c r="S64" s="10">
        <v>0.0</v>
      </c>
      <c r="T64" s="10"/>
      <c r="U64" s="10"/>
      <c r="V64" s="11">
        <v>1.0</v>
      </c>
      <c r="W64" s="10">
        <v>1.0</v>
      </c>
    </row>
    <row r="65" ht="15.75" customHeight="1">
      <c r="A65" s="10" t="s">
        <v>952</v>
      </c>
      <c r="B65" s="11" t="s">
        <v>67</v>
      </c>
      <c r="C65" s="11" t="s">
        <v>953</v>
      </c>
      <c r="D65" s="11">
        <v>67.0</v>
      </c>
      <c r="E65" s="11" t="s">
        <v>954</v>
      </c>
      <c r="F65" s="11">
        <v>1.0</v>
      </c>
      <c r="G65" s="11">
        <v>1.0</v>
      </c>
      <c r="H65" s="11">
        <v>1.0</v>
      </c>
      <c r="I65" s="11" t="s">
        <v>955</v>
      </c>
      <c r="J65" s="11" t="s">
        <v>661</v>
      </c>
      <c r="K65" s="11" t="s">
        <v>956</v>
      </c>
      <c r="L65" s="11" t="s">
        <v>957</v>
      </c>
      <c r="M65" s="11" t="s">
        <v>72</v>
      </c>
      <c r="N65" s="11" t="s">
        <v>837</v>
      </c>
      <c r="O65" s="13" t="s">
        <v>958</v>
      </c>
      <c r="P65" s="11" t="s">
        <v>838</v>
      </c>
      <c r="Q65" s="11" t="s">
        <v>959</v>
      </c>
      <c r="R65" s="10"/>
      <c r="S65" s="10"/>
      <c r="T65" s="10"/>
      <c r="U65" s="10"/>
      <c r="V65" s="11">
        <v>1.0</v>
      </c>
      <c r="W65" s="10">
        <v>1.0</v>
      </c>
    </row>
    <row r="66" ht="15.75" customHeight="1">
      <c r="A66" s="10" t="s">
        <v>960</v>
      </c>
      <c r="B66" s="11" t="s">
        <v>67</v>
      </c>
      <c r="C66" s="11" t="s">
        <v>961</v>
      </c>
      <c r="D66" s="11">
        <v>68.0</v>
      </c>
      <c r="E66" s="11" t="s">
        <v>962</v>
      </c>
      <c r="F66" s="11">
        <v>1.0</v>
      </c>
      <c r="G66" s="11">
        <v>1.0</v>
      </c>
      <c r="H66" s="11">
        <v>1.0</v>
      </c>
      <c r="I66" s="20" t="s">
        <v>963</v>
      </c>
      <c r="J66" s="11" t="s">
        <v>661</v>
      </c>
      <c r="K66" s="11" t="s">
        <v>964</v>
      </c>
      <c r="L66" s="11" t="s">
        <v>965</v>
      </c>
      <c r="M66" s="11" t="s">
        <v>72</v>
      </c>
      <c r="N66" s="11" t="s">
        <v>837</v>
      </c>
      <c r="O66" s="20" t="s">
        <v>966</v>
      </c>
      <c r="P66" s="11" t="s">
        <v>838</v>
      </c>
      <c r="Q66" s="11" t="s">
        <v>959</v>
      </c>
      <c r="R66" s="10"/>
      <c r="S66" s="10"/>
      <c r="T66" s="10"/>
      <c r="U66" s="10"/>
      <c r="V66" s="11">
        <v>1.0</v>
      </c>
      <c r="W66" s="10">
        <v>1.0</v>
      </c>
    </row>
    <row r="67" ht="15.75" customHeight="1">
      <c r="A67" s="10" t="s">
        <v>967</v>
      </c>
      <c r="B67" s="11" t="s">
        <v>67</v>
      </c>
      <c r="C67" s="11" t="s">
        <v>968</v>
      </c>
      <c r="D67" s="11">
        <v>68.0</v>
      </c>
      <c r="E67" s="11" t="s">
        <v>969</v>
      </c>
      <c r="F67" s="11"/>
      <c r="G67" s="11"/>
      <c r="H67" s="11"/>
      <c r="I67" s="11" t="s">
        <v>970</v>
      </c>
      <c r="J67" s="11"/>
      <c r="K67" s="11" t="s">
        <v>971</v>
      </c>
      <c r="L67" s="11" t="s">
        <v>972</v>
      </c>
      <c r="M67" s="11"/>
      <c r="N67" s="11"/>
      <c r="O67" s="20"/>
      <c r="P67" s="11"/>
      <c r="Q67" s="11"/>
      <c r="R67" s="10"/>
      <c r="S67" s="10"/>
      <c r="T67" s="10"/>
      <c r="U67" s="10"/>
      <c r="V67" s="11"/>
      <c r="W67" s="10"/>
    </row>
    <row r="68" ht="15.75" customHeight="1">
      <c r="A68" s="10" t="s">
        <v>973</v>
      </c>
      <c r="B68" s="11" t="s">
        <v>67</v>
      </c>
      <c r="C68" s="21" t="s">
        <v>974</v>
      </c>
      <c r="D68" s="11">
        <v>69.0</v>
      </c>
      <c r="E68" s="11" t="s">
        <v>975</v>
      </c>
      <c r="F68" s="11">
        <v>1.0</v>
      </c>
      <c r="G68" s="11">
        <v>1.0</v>
      </c>
      <c r="H68" s="11">
        <v>1.0</v>
      </c>
      <c r="I68" s="11" t="s">
        <v>976</v>
      </c>
      <c r="J68" s="11" t="s">
        <v>661</v>
      </c>
      <c r="K68" s="11" t="s">
        <v>977</v>
      </c>
      <c r="L68" s="11" t="s">
        <v>978</v>
      </c>
      <c r="M68" s="11" t="s">
        <v>72</v>
      </c>
      <c r="N68" s="11" t="s">
        <v>837</v>
      </c>
      <c r="O68" s="20" t="s">
        <v>979</v>
      </c>
      <c r="P68" s="11" t="s">
        <v>838</v>
      </c>
      <c r="Q68" s="11"/>
      <c r="R68" s="10"/>
      <c r="S68" s="10"/>
      <c r="T68" s="10"/>
      <c r="U68" s="10"/>
      <c r="V68" s="11">
        <v>1.0</v>
      </c>
      <c r="W68" s="10">
        <v>1.0</v>
      </c>
    </row>
    <row r="69" ht="15.75" customHeight="1">
      <c r="A69" s="11" t="s">
        <v>980</v>
      </c>
      <c r="B69" s="11" t="s">
        <v>67</v>
      </c>
      <c r="C69" s="11" t="s">
        <v>981</v>
      </c>
      <c r="D69" s="11">
        <v>70.0</v>
      </c>
      <c r="E69" s="11" t="s">
        <v>982</v>
      </c>
      <c r="F69" s="11">
        <v>1.0</v>
      </c>
      <c r="G69" s="11">
        <v>1.0</v>
      </c>
      <c r="H69" s="11">
        <v>0.0</v>
      </c>
      <c r="I69" s="13" t="s">
        <v>983</v>
      </c>
      <c r="J69" s="11" t="s">
        <v>661</v>
      </c>
      <c r="K69" s="11" t="s">
        <v>984</v>
      </c>
      <c r="L69" s="11" t="s">
        <v>985</v>
      </c>
      <c r="M69" s="11" t="s">
        <v>72</v>
      </c>
      <c r="N69" s="11" t="s">
        <v>837</v>
      </c>
      <c r="O69" s="20" t="s">
        <v>986</v>
      </c>
      <c r="P69" s="11" t="s">
        <v>666</v>
      </c>
      <c r="Q69" s="11" t="s">
        <v>720</v>
      </c>
      <c r="R69" s="22"/>
      <c r="S69" s="22"/>
      <c r="T69" s="10"/>
      <c r="U69" s="10"/>
      <c r="V69" s="23"/>
      <c r="W69" s="24"/>
    </row>
    <row r="70" ht="15.75" customHeight="1">
      <c r="A70" s="10" t="s">
        <v>987</v>
      </c>
      <c r="B70" s="11" t="s">
        <v>67</v>
      </c>
      <c r="C70" s="11" t="s">
        <v>102</v>
      </c>
      <c r="D70" s="11">
        <v>71.0</v>
      </c>
      <c r="E70" s="11" t="s">
        <v>101</v>
      </c>
      <c r="F70" s="11">
        <v>1.0</v>
      </c>
      <c r="G70" s="11">
        <v>1.0</v>
      </c>
      <c r="H70" s="11">
        <v>0.0</v>
      </c>
      <c r="I70" s="13" t="s">
        <v>988</v>
      </c>
      <c r="J70" s="11" t="s">
        <v>661</v>
      </c>
      <c r="K70" s="11" t="s">
        <v>989</v>
      </c>
      <c r="L70" s="11" t="s">
        <v>103</v>
      </c>
      <c r="M70" s="12" t="s">
        <v>104</v>
      </c>
      <c r="N70" s="11" t="s">
        <v>712</v>
      </c>
      <c r="O70" s="20" t="s">
        <v>990</v>
      </c>
      <c r="P70" s="11" t="s">
        <v>666</v>
      </c>
      <c r="Q70" s="11" t="s">
        <v>720</v>
      </c>
      <c r="R70" s="10"/>
      <c r="S70" s="10">
        <v>0.0</v>
      </c>
      <c r="T70" s="10"/>
      <c r="U70" s="10" t="s">
        <v>991</v>
      </c>
      <c r="V70" s="11">
        <v>1.0</v>
      </c>
      <c r="W70" s="10">
        <v>1.0</v>
      </c>
    </row>
    <row r="71" ht="15.75" customHeight="1">
      <c r="A71" s="10" t="s">
        <v>992</v>
      </c>
      <c r="B71" s="11" t="s">
        <v>628</v>
      </c>
      <c r="C71" s="11" t="s">
        <v>631</v>
      </c>
      <c r="D71" s="11">
        <v>72.0</v>
      </c>
      <c r="E71" s="11" t="s">
        <v>630</v>
      </c>
      <c r="F71" s="11"/>
      <c r="G71" s="11">
        <v>1.0</v>
      </c>
      <c r="H71" s="11">
        <v>0.0</v>
      </c>
      <c r="I71" s="10" t="s">
        <v>993</v>
      </c>
      <c r="J71" s="11" t="s">
        <v>661</v>
      </c>
      <c r="K71" s="10" t="s">
        <v>994</v>
      </c>
      <c r="L71" s="11" t="s">
        <v>995</v>
      </c>
      <c r="M71" s="11" t="s">
        <v>12</v>
      </c>
      <c r="N71" s="11" t="s">
        <v>664</v>
      </c>
      <c r="O71" s="11" t="s">
        <v>110</v>
      </c>
      <c r="P71" s="11" t="s">
        <v>110</v>
      </c>
      <c r="Q71" s="10"/>
      <c r="R71" s="11"/>
      <c r="S71" s="11"/>
      <c r="T71" s="11" t="s">
        <v>889</v>
      </c>
      <c r="U71" s="11"/>
      <c r="V71" s="11">
        <v>1.0</v>
      </c>
      <c r="W71" s="10"/>
    </row>
    <row r="72" ht="15.75" customHeight="1">
      <c r="A72" s="10" t="s">
        <v>996</v>
      </c>
      <c r="B72" s="11" t="s">
        <v>628</v>
      </c>
      <c r="C72" s="11" t="s">
        <v>635</v>
      </c>
      <c r="D72" s="11">
        <v>73.0</v>
      </c>
      <c r="E72" s="11" t="s">
        <v>634</v>
      </c>
      <c r="F72" s="11"/>
      <c r="G72" s="11">
        <v>1.0</v>
      </c>
      <c r="H72" s="11">
        <v>0.0</v>
      </c>
      <c r="I72" s="11" t="s">
        <v>997</v>
      </c>
      <c r="J72" s="11" t="s">
        <v>661</v>
      </c>
      <c r="K72" s="10" t="s">
        <v>994</v>
      </c>
      <c r="L72" s="11" t="s">
        <v>998</v>
      </c>
      <c r="M72" s="11" t="s">
        <v>12</v>
      </c>
      <c r="N72" s="11" t="s">
        <v>664</v>
      </c>
      <c r="O72" s="11" t="s">
        <v>110</v>
      </c>
      <c r="P72" s="11" t="s">
        <v>110</v>
      </c>
      <c r="Q72" s="11"/>
      <c r="R72" s="11"/>
      <c r="S72" s="11"/>
      <c r="T72" s="11" t="s">
        <v>889</v>
      </c>
      <c r="U72" s="11"/>
      <c r="V72" s="11">
        <v>1.0</v>
      </c>
      <c r="W72" s="10"/>
    </row>
    <row r="73" ht="15.75" customHeight="1">
      <c r="A73" s="10" t="s">
        <v>999</v>
      </c>
      <c r="B73" s="11" t="s">
        <v>628</v>
      </c>
      <c r="C73" s="11" t="s">
        <v>1000</v>
      </c>
      <c r="D73" s="11">
        <v>74.0</v>
      </c>
      <c r="E73" s="11" t="s">
        <v>1001</v>
      </c>
      <c r="F73" s="11"/>
      <c r="G73" s="11"/>
      <c r="H73" s="11"/>
      <c r="I73" s="11" t="s">
        <v>1002</v>
      </c>
      <c r="J73" s="11" t="s">
        <v>661</v>
      </c>
      <c r="K73" s="11"/>
      <c r="L73" s="11" t="s">
        <v>1003</v>
      </c>
      <c r="M73" s="11" t="s">
        <v>12</v>
      </c>
      <c r="N73" s="11" t="s">
        <v>664</v>
      </c>
      <c r="O73" s="11" t="s">
        <v>110</v>
      </c>
      <c r="P73" s="11" t="s">
        <v>110</v>
      </c>
      <c r="Q73" s="11"/>
      <c r="R73" s="11"/>
      <c r="S73" s="11"/>
      <c r="T73" s="11"/>
      <c r="U73" s="11"/>
      <c r="V73" s="11"/>
      <c r="W73" s="10"/>
    </row>
    <row r="74" ht="15.75" customHeight="1">
      <c r="A74" s="10" t="s">
        <v>1004</v>
      </c>
      <c r="B74" s="11" t="s">
        <v>628</v>
      </c>
      <c r="C74" s="11" t="s">
        <v>639</v>
      </c>
      <c r="D74" s="11">
        <v>75.0</v>
      </c>
      <c r="E74" s="11" t="s">
        <v>638</v>
      </c>
      <c r="F74" s="11"/>
      <c r="G74" s="11">
        <v>0.0</v>
      </c>
      <c r="H74" s="11">
        <v>0.0</v>
      </c>
      <c r="I74" s="11" t="s">
        <v>1005</v>
      </c>
      <c r="J74" s="11" t="s">
        <v>661</v>
      </c>
      <c r="K74" s="11"/>
      <c r="L74" s="11" t="s">
        <v>1006</v>
      </c>
      <c r="M74" s="11" t="s">
        <v>210</v>
      </c>
      <c r="N74" s="11" t="s">
        <v>664</v>
      </c>
      <c r="O74" s="11" t="s">
        <v>640</v>
      </c>
      <c r="P74" s="11" t="s">
        <v>666</v>
      </c>
      <c r="Q74" s="11" t="s">
        <v>1007</v>
      </c>
      <c r="R74" s="11"/>
      <c r="S74" s="11"/>
      <c r="T74" s="11" t="s">
        <v>889</v>
      </c>
      <c r="U74" s="11"/>
      <c r="V74" s="11">
        <v>1.0</v>
      </c>
      <c r="W74" s="10"/>
    </row>
    <row r="75" ht="15.75" customHeight="1">
      <c r="A75" s="10" t="s">
        <v>1008</v>
      </c>
      <c r="B75" s="11" t="s">
        <v>628</v>
      </c>
      <c r="C75" s="11" t="s">
        <v>1009</v>
      </c>
      <c r="D75" s="11">
        <v>76.0</v>
      </c>
      <c r="E75" s="11" t="s">
        <v>1010</v>
      </c>
      <c r="F75" s="11"/>
      <c r="G75" s="11">
        <v>0.0</v>
      </c>
      <c r="H75" s="11">
        <v>0.0</v>
      </c>
      <c r="I75" s="11" t="s">
        <v>1011</v>
      </c>
      <c r="J75" s="11" t="s">
        <v>661</v>
      </c>
      <c r="K75" s="11"/>
      <c r="L75" s="11" t="s">
        <v>1012</v>
      </c>
      <c r="M75" s="11" t="s">
        <v>1013</v>
      </c>
      <c r="N75" s="11" t="s">
        <v>1014</v>
      </c>
      <c r="O75" s="11" t="s">
        <v>1015</v>
      </c>
      <c r="P75" s="11" t="s">
        <v>110</v>
      </c>
      <c r="Q75" s="11"/>
      <c r="R75" s="11"/>
      <c r="S75" s="11"/>
      <c r="T75" s="11" t="s">
        <v>889</v>
      </c>
      <c r="U75" s="11"/>
      <c r="V75" s="11">
        <v>1.0</v>
      </c>
      <c r="W75" s="10"/>
    </row>
    <row r="76" ht="15.75" customHeight="1">
      <c r="A76" s="10" t="s">
        <v>1016</v>
      </c>
      <c r="B76" s="11" t="s">
        <v>628</v>
      </c>
      <c r="C76" s="11" t="s">
        <v>1017</v>
      </c>
      <c r="D76" s="11">
        <v>77.0</v>
      </c>
      <c r="E76" s="11" t="s">
        <v>1018</v>
      </c>
      <c r="F76" s="11"/>
      <c r="G76" s="11">
        <v>0.0</v>
      </c>
      <c r="H76" s="11">
        <v>0.0</v>
      </c>
      <c r="I76" s="11" t="s">
        <v>1019</v>
      </c>
      <c r="J76" s="11" t="s">
        <v>661</v>
      </c>
      <c r="K76" s="11"/>
      <c r="L76" s="11" t="s">
        <v>1020</v>
      </c>
      <c r="M76" s="11" t="s">
        <v>1021</v>
      </c>
      <c r="N76" s="11" t="s">
        <v>1014</v>
      </c>
      <c r="O76" s="11" t="s">
        <v>1022</v>
      </c>
      <c r="P76" s="11" t="s">
        <v>110</v>
      </c>
      <c r="Q76" s="11"/>
      <c r="R76" s="11"/>
      <c r="S76" s="11"/>
      <c r="T76" s="11" t="s">
        <v>889</v>
      </c>
      <c r="U76" s="11"/>
      <c r="V76" s="11">
        <v>1.0</v>
      </c>
      <c r="W76" s="10"/>
    </row>
    <row r="77" ht="15.75" customHeight="1">
      <c r="A77" s="10" t="s">
        <v>1023</v>
      </c>
      <c r="B77" s="11" t="s">
        <v>628</v>
      </c>
      <c r="C77" s="11" t="s">
        <v>1024</v>
      </c>
      <c r="D77" s="11">
        <v>78.0</v>
      </c>
      <c r="E77" s="11" t="s">
        <v>1025</v>
      </c>
      <c r="F77" s="11"/>
      <c r="G77" s="11">
        <v>0.0</v>
      </c>
      <c r="H77" s="11">
        <v>0.0</v>
      </c>
      <c r="I77" s="11" t="s">
        <v>1026</v>
      </c>
      <c r="J77" s="11" t="s">
        <v>661</v>
      </c>
      <c r="K77" s="11"/>
      <c r="L77" s="11" t="s">
        <v>1027</v>
      </c>
      <c r="M77" s="11" t="s">
        <v>1021</v>
      </c>
      <c r="N77" s="11" t="s">
        <v>1014</v>
      </c>
      <c r="O77" s="11" t="s">
        <v>1022</v>
      </c>
      <c r="P77" s="11" t="s">
        <v>110</v>
      </c>
      <c r="Q77" s="11"/>
      <c r="R77" s="11"/>
      <c r="S77" s="11"/>
      <c r="T77" s="11" t="s">
        <v>889</v>
      </c>
      <c r="U77" s="11"/>
      <c r="V77" s="11">
        <v>1.0</v>
      </c>
      <c r="W77" s="10"/>
    </row>
    <row r="78" ht="15.75" customHeight="1">
      <c r="A78" s="10" t="s">
        <v>1028</v>
      </c>
      <c r="B78" s="11" t="s">
        <v>180</v>
      </c>
      <c r="C78" s="11" t="s">
        <v>183</v>
      </c>
      <c r="D78" s="11">
        <v>79.0</v>
      </c>
      <c r="E78" s="11" t="s">
        <v>1029</v>
      </c>
      <c r="F78" s="11"/>
      <c r="G78" s="11"/>
      <c r="H78" s="11"/>
      <c r="I78" s="10" t="s">
        <v>1030</v>
      </c>
      <c r="J78" s="11" t="s">
        <v>661</v>
      </c>
      <c r="K78" s="11" t="s">
        <v>1031</v>
      </c>
      <c r="L78" s="11" t="s">
        <v>1032</v>
      </c>
      <c r="M78" s="11" t="s">
        <v>12</v>
      </c>
      <c r="N78" s="11" t="s">
        <v>664</v>
      </c>
      <c r="O78" s="11" t="s">
        <v>110</v>
      </c>
      <c r="P78" s="11" t="s">
        <v>110</v>
      </c>
      <c r="Q78" s="10"/>
      <c r="R78" s="11"/>
      <c r="S78" s="11"/>
      <c r="T78" s="11"/>
      <c r="U78" s="11"/>
      <c r="V78" s="11"/>
      <c r="W78" s="10"/>
    </row>
    <row r="79" ht="15.75" customHeight="1">
      <c r="A79" s="10" t="s">
        <v>1033</v>
      </c>
      <c r="B79" s="11" t="s">
        <v>180</v>
      </c>
      <c r="C79" s="11" t="s">
        <v>188</v>
      </c>
      <c r="D79" s="11">
        <v>79.0</v>
      </c>
      <c r="E79" s="11" t="s">
        <v>1034</v>
      </c>
      <c r="F79" s="11">
        <v>1.0</v>
      </c>
      <c r="G79" s="11">
        <v>1.0</v>
      </c>
      <c r="H79" s="11">
        <v>0.0</v>
      </c>
      <c r="I79" s="10" t="s">
        <v>1035</v>
      </c>
      <c r="J79" s="11" t="s">
        <v>661</v>
      </c>
      <c r="K79" s="11" t="s">
        <v>1036</v>
      </c>
      <c r="L79" s="11" t="s">
        <v>1037</v>
      </c>
      <c r="M79" s="11" t="s">
        <v>12</v>
      </c>
      <c r="N79" s="11" t="s">
        <v>664</v>
      </c>
      <c r="O79" s="11" t="s">
        <v>110</v>
      </c>
      <c r="P79" s="11" t="s">
        <v>110</v>
      </c>
      <c r="Q79" s="10"/>
      <c r="R79" s="11"/>
      <c r="S79" s="11">
        <v>0.0</v>
      </c>
      <c r="T79" s="11"/>
      <c r="U79" s="11"/>
      <c r="V79" s="11">
        <v>1.0</v>
      </c>
      <c r="W79" s="10">
        <v>1.0</v>
      </c>
    </row>
    <row r="80" ht="15.75" customHeight="1">
      <c r="A80" s="10" t="s">
        <v>1038</v>
      </c>
      <c r="B80" s="11" t="s">
        <v>180</v>
      </c>
      <c r="C80" s="11" t="s">
        <v>192</v>
      </c>
      <c r="D80" s="11">
        <v>80.0</v>
      </c>
      <c r="E80" s="11" t="s">
        <v>1039</v>
      </c>
      <c r="F80" s="11"/>
      <c r="G80" s="11"/>
      <c r="H80" s="11"/>
      <c r="I80" s="10" t="s">
        <v>1040</v>
      </c>
      <c r="J80" s="11" t="s">
        <v>901</v>
      </c>
      <c r="K80" s="11"/>
      <c r="L80" s="11" t="s">
        <v>197</v>
      </c>
      <c r="M80" s="11" t="s">
        <v>1041</v>
      </c>
      <c r="N80" s="11" t="s">
        <v>664</v>
      </c>
      <c r="O80" s="11" t="s">
        <v>110</v>
      </c>
      <c r="P80" s="11" t="s">
        <v>666</v>
      </c>
      <c r="Q80" s="11" t="s">
        <v>1042</v>
      </c>
      <c r="R80" s="10"/>
      <c r="S80" s="10"/>
      <c r="T80" s="10"/>
      <c r="U80" s="10"/>
      <c r="V80" s="11"/>
      <c r="W80" s="10"/>
    </row>
    <row r="81" ht="15.75" customHeight="1">
      <c r="A81" s="10" t="s">
        <v>1043</v>
      </c>
      <c r="B81" s="11" t="s">
        <v>180</v>
      </c>
      <c r="C81" s="11" t="s">
        <v>196</v>
      </c>
      <c r="D81" s="11">
        <v>80.0</v>
      </c>
      <c r="E81" s="11" t="s">
        <v>1044</v>
      </c>
      <c r="F81" s="11"/>
      <c r="G81" s="11"/>
      <c r="H81" s="11"/>
      <c r="I81" s="10" t="s">
        <v>1045</v>
      </c>
      <c r="J81" s="11" t="s">
        <v>901</v>
      </c>
      <c r="K81" s="11"/>
      <c r="L81" s="11" t="s">
        <v>153</v>
      </c>
      <c r="M81" s="11" t="s">
        <v>1041</v>
      </c>
      <c r="N81" s="11" t="s">
        <v>664</v>
      </c>
      <c r="O81" s="11" t="s">
        <v>110</v>
      </c>
      <c r="P81" s="11" t="s">
        <v>666</v>
      </c>
      <c r="Q81" s="11" t="s">
        <v>1042</v>
      </c>
      <c r="R81" s="10"/>
      <c r="S81" s="10"/>
      <c r="T81" s="10"/>
      <c r="U81" s="10"/>
      <c r="V81" s="11"/>
      <c r="W81" s="10"/>
    </row>
    <row r="82" ht="15.75" customHeight="1">
      <c r="A82" s="10" t="s">
        <v>1046</v>
      </c>
      <c r="B82" s="11" t="s">
        <v>180</v>
      </c>
      <c r="C82" s="11" t="s">
        <v>204</v>
      </c>
      <c r="D82" s="11">
        <v>81.0</v>
      </c>
      <c r="E82" s="11" t="s">
        <v>203</v>
      </c>
      <c r="F82" s="11">
        <v>1.0</v>
      </c>
      <c r="G82" s="11">
        <v>0.0</v>
      </c>
      <c r="H82" s="11">
        <v>0.0</v>
      </c>
      <c r="I82" s="11" t="s">
        <v>1047</v>
      </c>
      <c r="J82" s="11" t="s">
        <v>901</v>
      </c>
      <c r="K82" s="11" t="s">
        <v>1048</v>
      </c>
      <c r="L82" s="11" t="s">
        <v>1049</v>
      </c>
      <c r="M82" s="11" t="s">
        <v>1041</v>
      </c>
      <c r="N82" s="11" t="s">
        <v>664</v>
      </c>
      <c r="O82" s="11" t="s">
        <v>110</v>
      </c>
      <c r="P82" s="11" t="s">
        <v>110</v>
      </c>
      <c r="Q82" s="11"/>
      <c r="R82" s="10"/>
      <c r="S82" s="10"/>
      <c r="T82" s="10"/>
      <c r="U82" s="10"/>
      <c r="V82" s="11">
        <v>1.0</v>
      </c>
      <c r="W82" s="10">
        <v>1.0</v>
      </c>
    </row>
    <row r="83" ht="15.75" customHeight="1">
      <c r="A83" s="10" t="s">
        <v>1050</v>
      </c>
      <c r="B83" s="11" t="s">
        <v>180</v>
      </c>
      <c r="C83" s="11" t="s">
        <v>200</v>
      </c>
      <c r="D83" s="11">
        <v>81.0</v>
      </c>
      <c r="E83" s="11" t="s">
        <v>199</v>
      </c>
      <c r="F83" s="11">
        <v>1.0</v>
      </c>
      <c r="G83" s="11">
        <v>0.0</v>
      </c>
      <c r="H83" s="11">
        <v>0.0</v>
      </c>
      <c r="I83" s="11" t="s">
        <v>1047</v>
      </c>
      <c r="J83" s="11" t="s">
        <v>661</v>
      </c>
      <c r="K83" s="11" t="s">
        <v>1048</v>
      </c>
      <c r="L83" s="11" t="s">
        <v>1049</v>
      </c>
      <c r="M83" s="11" t="s">
        <v>12</v>
      </c>
      <c r="N83" s="11" t="s">
        <v>664</v>
      </c>
      <c r="O83" s="11" t="s">
        <v>110</v>
      </c>
      <c r="P83" s="11" t="s">
        <v>110</v>
      </c>
      <c r="Q83" s="11"/>
      <c r="R83" s="10"/>
      <c r="S83" s="10"/>
      <c r="T83" s="10"/>
      <c r="U83" s="10"/>
      <c r="V83" s="11">
        <v>1.0</v>
      </c>
      <c r="W83" s="10">
        <v>1.0</v>
      </c>
    </row>
    <row r="84" ht="15.75" customHeight="1">
      <c r="A84" s="10" t="s">
        <v>1051</v>
      </c>
      <c r="B84" s="11" t="s">
        <v>180</v>
      </c>
      <c r="C84" s="11" t="s">
        <v>213</v>
      </c>
      <c r="D84" s="11">
        <v>82.0</v>
      </c>
      <c r="E84" s="11" t="s">
        <v>1052</v>
      </c>
      <c r="F84" s="11">
        <v>1.0</v>
      </c>
      <c r="G84" s="11">
        <v>1.0</v>
      </c>
      <c r="H84" s="11">
        <v>0.0</v>
      </c>
      <c r="I84" s="13" t="s">
        <v>1053</v>
      </c>
      <c r="J84" s="11" t="s">
        <v>677</v>
      </c>
      <c r="K84" s="11" t="s">
        <v>1048</v>
      </c>
      <c r="L84" s="11" t="s">
        <v>1054</v>
      </c>
      <c r="M84" s="11" t="s">
        <v>1041</v>
      </c>
      <c r="N84" s="11" t="s">
        <v>664</v>
      </c>
      <c r="O84" s="11" t="s">
        <v>110</v>
      </c>
      <c r="P84" s="11" t="s">
        <v>666</v>
      </c>
      <c r="Q84" s="11" t="s">
        <v>1042</v>
      </c>
      <c r="R84" s="11"/>
      <c r="S84" s="11">
        <v>0.0</v>
      </c>
      <c r="T84" s="11"/>
      <c r="U84" s="11"/>
      <c r="V84" s="11">
        <v>1.0</v>
      </c>
      <c r="W84" s="10">
        <v>1.0</v>
      </c>
    </row>
    <row r="85" ht="15.75" customHeight="1">
      <c r="A85" s="10" t="s">
        <v>1055</v>
      </c>
      <c r="B85" s="11" t="s">
        <v>180</v>
      </c>
      <c r="C85" s="11" t="s">
        <v>208</v>
      </c>
      <c r="D85" s="11">
        <v>82.0</v>
      </c>
      <c r="E85" s="11" t="s">
        <v>207</v>
      </c>
      <c r="F85" s="11">
        <v>1.0</v>
      </c>
      <c r="G85" s="11">
        <v>1.0</v>
      </c>
      <c r="H85" s="11">
        <v>0.0</v>
      </c>
      <c r="I85" s="20" t="s">
        <v>1056</v>
      </c>
      <c r="J85" s="11" t="s">
        <v>661</v>
      </c>
      <c r="K85" s="11" t="s">
        <v>1048</v>
      </c>
      <c r="L85" s="11" t="s">
        <v>1054</v>
      </c>
      <c r="M85" s="11" t="s">
        <v>210</v>
      </c>
      <c r="N85" s="11" t="s">
        <v>664</v>
      </c>
      <c r="O85" s="11" t="s">
        <v>110</v>
      </c>
      <c r="P85" s="11" t="s">
        <v>110</v>
      </c>
      <c r="Q85" s="11"/>
      <c r="R85" s="11"/>
      <c r="S85" s="11">
        <v>0.0</v>
      </c>
      <c r="T85" s="11"/>
      <c r="U85" s="11"/>
      <c r="V85" s="11">
        <v>1.0</v>
      </c>
      <c r="W85" s="10">
        <v>1.0</v>
      </c>
    </row>
    <row r="86" ht="15.75" customHeight="1">
      <c r="A86" s="10" t="s">
        <v>1057</v>
      </c>
      <c r="B86" s="25" t="s">
        <v>1058</v>
      </c>
      <c r="C86" s="25" t="s">
        <v>1059</v>
      </c>
      <c r="D86" s="11">
        <v>83.0</v>
      </c>
      <c r="E86" s="25" t="s">
        <v>1060</v>
      </c>
      <c r="F86" s="11">
        <v>1.0</v>
      </c>
      <c r="G86" s="25">
        <v>1.0</v>
      </c>
      <c r="H86" s="11">
        <v>0.0</v>
      </c>
      <c r="I86" s="11" t="s">
        <v>1061</v>
      </c>
      <c r="J86" s="11" t="s">
        <v>661</v>
      </c>
      <c r="K86" s="11" t="s">
        <v>1062</v>
      </c>
      <c r="L86" s="11" t="s">
        <v>1061</v>
      </c>
      <c r="M86" s="11" t="s">
        <v>1063</v>
      </c>
      <c r="N86" s="11" t="s">
        <v>712</v>
      </c>
      <c r="O86" s="11" t="s">
        <v>110</v>
      </c>
      <c r="P86" s="11" t="s">
        <v>666</v>
      </c>
      <c r="Q86" s="11" t="s">
        <v>720</v>
      </c>
      <c r="R86" s="24"/>
      <c r="S86" s="24"/>
      <c r="T86" s="10"/>
      <c r="U86" s="10"/>
      <c r="V86" s="25"/>
      <c r="W86" s="24"/>
    </row>
    <row r="87" ht="15.75" customHeight="1">
      <c r="A87" s="10" t="s">
        <v>1064</v>
      </c>
      <c r="B87" s="11" t="s">
        <v>1058</v>
      </c>
      <c r="C87" s="25" t="s">
        <v>1065</v>
      </c>
      <c r="D87" s="11">
        <v>84.0</v>
      </c>
      <c r="E87" s="11" t="s">
        <v>1066</v>
      </c>
      <c r="F87" s="11">
        <v>1.0</v>
      </c>
      <c r="G87" s="11"/>
      <c r="H87" s="11">
        <v>0.0</v>
      </c>
      <c r="I87" s="11" t="s">
        <v>1067</v>
      </c>
      <c r="J87" s="11" t="s">
        <v>661</v>
      </c>
      <c r="K87" s="11" t="s">
        <v>1068</v>
      </c>
      <c r="L87" s="11" t="s">
        <v>1069</v>
      </c>
      <c r="M87" s="11"/>
      <c r="N87" s="11" t="s">
        <v>664</v>
      </c>
      <c r="O87" s="11" t="s">
        <v>665</v>
      </c>
      <c r="P87" s="11" t="s">
        <v>666</v>
      </c>
      <c r="Q87" s="11" t="s">
        <v>1070</v>
      </c>
      <c r="R87" s="10"/>
      <c r="S87" s="10"/>
      <c r="T87" s="10"/>
      <c r="U87" s="10"/>
      <c r="V87" s="11">
        <v>1.0</v>
      </c>
      <c r="W87" s="10"/>
    </row>
    <row r="88" ht="15.75" customHeight="1">
      <c r="A88" s="11" t="s">
        <v>1071</v>
      </c>
      <c r="B88" s="25" t="s">
        <v>1058</v>
      </c>
      <c r="C88" s="25" t="s">
        <v>1072</v>
      </c>
      <c r="D88" s="11">
        <v>85.0</v>
      </c>
      <c r="E88" s="11" t="s">
        <v>1073</v>
      </c>
      <c r="F88" s="11"/>
      <c r="G88" s="11">
        <v>0.0</v>
      </c>
      <c r="H88" s="11">
        <v>1.0</v>
      </c>
      <c r="I88" s="11" t="s">
        <v>1074</v>
      </c>
      <c r="J88" s="11" t="s">
        <v>661</v>
      </c>
      <c r="K88" s="10" t="s">
        <v>1075</v>
      </c>
      <c r="L88" s="11" t="s">
        <v>1076</v>
      </c>
      <c r="M88" s="11" t="s">
        <v>12</v>
      </c>
      <c r="N88" s="11" t="s">
        <v>664</v>
      </c>
      <c r="O88" s="11" t="s">
        <v>110</v>
      </c>
      <c r="P88" s="11" t="s">
        <v>1058</v>
      </c>
      <c r="Q88" s="10"/>
      <c r="R88" s="10"/>
      <c r="S88" s="10"/>
      <c r="T88" s="10" t="s">
        <v>889</v>
      </c>
      <c r="U88" s="10"/>
      <c r="V88" s="11"/>
      <c r="W88" s="10"/>
    </row>
    <row r="89" ht="15.75" customHeight="1">
      <c r="A89" s="10" t="s">
        <v>1077</v>
      </c>
      <c r="B89" s="25" t="s">
        <v>1058</v>
      </c>
      <c r="C89" s="25" t="s">
        <v>1078</v>
      </c>
      <c r="D89" s="11">
        <v>86.0</v>
      </c>
      <c r="E89" s="11" t="s">
        <v>1079</v>
      </c>
      <c r="F89" s="11"/>
      <c r="G89" s="11">
        <v>0.0</v>
      </c>
      <c r="H89" s="11">
        <v>0.0</v>
      </c>
      <c r="I89" s="11" t="s">
        <v>1074</v>
      </c>
      <c r="J89" s="11" t="s">
        <v>661</v>
      </c>
      <c r="K89" s="10" t="s">
        <v>1075</v>
      </c>
      <c r="L89" s="11" t="s">
        <v>1080</v>
      </c>
      <c r="M89" s="11" t="s">
        <v>12</v>
      </c>
      <c r="N89" s="11" t="s">
        <v>664</v>
      </c>
      <c r="O89" s="11" t="s">
        <v>110</v>
      </c>
      <c r="P89" s="11" t="s">
        <v>1058</v>
      </c>
      <c r="Q89" s="10"/>
      <c r="R89" s="10"/>
      <c r="S89" s="10"/>
      <c r="T89" s="10" t="s">
        <v>889</v>
      </c>
      <c r="U89" s="10"/>
      <c r="V89" s="11"/>
      <c r="W89" s="10"/>
    </row>
    <row r="90" ht="15.75" customHeight="1">
      <c r="A90" s="10" t="s">
        <v>1081</v>
      </c>
      <c r="B90" s="25" t="s">
        <v>1058</v>
      </c>
      <c r="C90" s="25" t="s">
        <v>1082</v>
      </c>
      <c r="D90" s="11">
        <v>87.0</v>
      </c>
      <c r="E90" s="11" t="s">
        <v>1083</v>
      </c>
      <c r="F90" s="11"/>
      <c r="G90" s="11">
        <v>0.0</v>
      </c>
      <c r="H90" s="11">
        <v>0.0</v>
      </c>
      <c r="I90" s="11" t="s">
        <v>1074</v>
      </c>
      <c r="J90" s="11" t="s">
        <v>661</v>
      </c>
      <c r="K90" s="10" t="s">
        <v>1075</v>
      </c>
      <c r="L90" s="11" t="s">
        <v>1084</v>
      </c>
      <c r="M90" s="11" t="s">
        <v>12</v>
      </c>
      <c r="N90" s="11" t="s">
        <v>664</v>
      </c>
      <c r="O90" s="11" t="s">
        <v>110</v>
      </c>
      <c r="P90" s="11" t="s">
        <v>1058</v>
      </c>
      <c r="Q90" s="10"/>
      <c r="R90" s="10"/>
      <c r="S90" s="10"/>
      <c r="T90" s="10" t="s">
        <v>889</v>
      </c>
      <c r="U90" s="10"/>
      <c r="V90" s="11"/>
      <c r="W90" s="10"/>
    </row>
    <row r="91" ht="15.75" customHeight="1">
      <c r="A91" s="10" t="s">
        <v>1085</v>
      </c>
      <c r="B91" s="25" t="s">
        <v>1058</v>
      </c>
      <c r="C91" s="25" t="s">
        <v>1086</v>
      </c>
      <c r="D91" s="11">
        <v>88.0</v>
      </c>
      <c r="E91" s="11" t="s">
        <v>1087</v>
      </c>
      <c r="F91" s="11"/>
      <c r="G91" s="11">
        <v>0.0</v>
      </c>
      <c r="H91" s="11">
        <v>0.0</v>
      </c>
      <c r="I91" s="11" t="s">
        <v>1074</v>
      </c>
      <c r="J91" s="11" t="s">
        <v>661</v>
      </c>
      <c r="K91" s="10" t="s">
        <v>1075</v>
      </c>
      <c r="L91" s="11" t="s">
        <v>1088</v>
      </c>
      <c r="M91" s="11" t="s">
        <v>12</v>
      </c>
      <c r="N91" s="11" t="s">
        <v>664</v>
      </c>
      <c r="O91" s="11" t="s">
        <v>110</v>
      </c>
      <c r="P91" s="11" t="s">
        <v>1058</v>
      </c>
      <c r="Q91" s="10"/>
      <c r="R91" s="10"/>
      <c r="S91" s="10"/>
      <c r="T91" s="10" t="s">
        <v>889</v>
      </c>
      <c r="U91" s="10"/>
      <c r="V91" s="11"/>
      <c r="W91" s="10"/>
    </row>
    <row r="92" ht="15.75" customHeight="1">
      <c r="A92" s="10" t="s">
        <v>1089</v>
      </c>
      <c r="B92" s="25" t="s">
        <v>1058</v>
      </c>
      <c r="C92" s="25" t="s">
        <v>1090</v>
      </c>
      <c r="D92" s="11">
        <v>89.0</v>
      </c>
      <c r="E92" s="11" t="s">
        <v>1091</v>
      </c>
      <c r="F92" s="11"/>
      <c r="G92" s="11">
        <v>0.0</v>
      </c>
      <c r="H92" s="11">
        <v>0.0</v>
      </c>
      <c r="I92" s="11" t="s">
        <v>1074</v>
      </c>
      <c r="J92" s="11" t="s">
        <v>661</v>
      </c>
      <c r="K92" s="10" t="s">
        <v>1075</v>
      </c>
      <c r="L92" s="11" t="s">
        <v>1092</v>
      </c>
      <c r="M92" s="11" t="s">
        <v>12</v>
      </c>
      <c r="N92" s="11" t="s">
        <v>664</v>
      </c>
      <c r="O92" s="11" t="s">
        <v>110</v>
      </c>
      <c r="P92" s="11" t="s">
        <v>1058</v>
      </c>
      <c r="Q92" s="10"/>
      <c r="R92" s="10"/>
      <c r="S92" s="10"/>
      <c r="T92" s="10" t="s">
        <v>889</v>
      </c>
      <c r="U92" s="10"/>
      <c r="V92" s="11"/>
      <c r="W92" s="10"/>
    </row>
    <row r="93" ht="15.75" customHeight="1">
      <c r="A93" s="10" t="s">
        <v>1093</v>
      </c>
      <c r="B93" s="25" t="s">
        <v>1058</v>
      </c>
      <c r="C93" s="25" t="s">
        <v>1094</v>
      </c>
      <c r="D93" s="11">
        <v>90.0</v>
      </c>
      <c r="E93" s="11" t="s">
        <v>1095</v>
      </c>
      <c r="F93" s="11"/>
      <c r="G93" s="11">
        <v>0.0</v>
      </c>
      <c r="H93" s="11">
        <v>0.0</v>
      </c>
      <c r="I93" s="11" t="s">
        <v>1074</v>
      </c>
      <c r="J93" s="11" t="s">
        <v>661</v>
      </c>
      <c r="K93" s="10" t="s">
        <v>1075</v>
      </c>
      <c r="L93" s="11" t="s">
        <v>1096</v>
      </c>
      <c r="M93" s="11" t="s">
        <v>12</v>
      </c>
      <c r="N93" s="11" t="s">
        <v>664</v>
      </c>
      <c r="O93" s="11" t="s">
        <v>110</v>
      </c>
      <c r="P93" s="11" t="s">
        <v>1058</v>
      </c>
      <c r="Q93" s="10"/>
      <c r="R93" s="10"/>
      <c r="S93" s="10"/>
      <c r="T93" s="10" t="s">
        <v>889</v>
      </c>
      <c r="U93" s="10"/>
      <c r="V93" s="11"/>
      <c r="W93" s="10"/>
    </row>
    <row r="94" ht="15.75" customHeight="1">
      <c r="A94" s="10" t="s">
        <v>1097</v>
      </c>
      <c r="B94" s="11" t="s">
        <v>1058</v>
      </c>
      <c r="C94" s="11" t="s">
        <v>1098</v>
      </c>
      <c r="D94" s="11">
        <v>91.0</v>
      </c>
      <c r="E94" s="11" t="s">
        <v>1099</v>
      </c>
      <c r="F94" s="11">
        <v>1.0</v>
      </c>
      <c r="G94" s="11">
        <v>1.0</v>
      </c>
      <c r="H94" s="11">
        <v>1.0</v>
      </c>
      <c r="I94" s="11" t="s">
        <v>1100</v>
      </c>
      <c r="J94" s="11" t="s">
        <v>661</v>
      </c>
      <c r="K94" s="11" t="s">
        <v>1101</v>
      </c>
      <c r="L94" s="10" t="s">
        <v>1102</v>
      </c>
      <c r="M94" s="11" t="s">
        <v>1103</v>
      </c>
      <c r="N94" s="11" t="s">
        <v>1014</v>
      </c>
      <c r="O94" s="11" t="s">
        <v>110</v>
      </c>
      <c r="P94" s="11" t="s">
        <v>1058</v>
      </c>
      <c r="Q94" s="11"/>
      <c r="R94" s="10"/>
      <c r="S94" s="10"/>
      <c r="T94" s="10"/>
      <c r="U94" s="10"/>
      <c r="V94" s="11"/>
      <c r="W94" s="10">
        <v>1.0</v>
      </c>
    </row>
    <row r="95" ht="15.75" customHeight="1">
      <c r="A95" s="10" t="s">
        <v>1104</v>
      </c>
      <c r="B95" s="11" t="s">
        <v>94</v>
      </c>
      <c r="C95" s="11" t="s">
        <v>97</v>
      </c>
      <c r="D95" s="11">
        <v>92.0</v>
      </c>
      <c r="E95" s="11" t="s">
        <v>96</v>
      </c>
      <c r="F95" s="11">
        <v>1.0</v>
      </c>
      <c r="G95" s="11">
        <v>1.0</v>
      </c>
      <c r="H95" s="11">
        <v>0.0</v>
      </c>
      <c r="I95" s="13" t="s">
        <v>1105</v>
      </c>
      <c r="J95" s="11" t="s">
        <v>661</v>
      </c>
      <c r="K95" s="11" t="s">
        <v>1106</v>
      </c>
      <c r="L95" s="11" t="s">
        <v>98</v>
      </c>
      <c r="M95" s="11" t="s">
        <v>72</v>
      </c>
      <c r="N95" s="11" t="s">
        <v>837</v>
      </c>
      <c r="O95" s="13" t="s">
        <v>1107</v>
      </c>
      <c r="P95" s="11" t="s">
        <v>838</v>
      </c>
      <c r="Q95" s="11" t="s">
        <v>720</v>
      </c>
      <c r="R95" s="10"/>
      <c r="S95" s="10">
        <v>0.0</v>
      </c>
      <c r="T95" s="10"/>
      <c r="U95" s="10"/>
      <c r="V95" s="11">
        <v>1.0</v>
      </c>
      <c r="W95" s="10">
        <v>1.0</v>
      </c>
    </row>
    <row r="96" ht="15.75" customHeight="1">
      <c r="A96" s="10" t="s">
        <v>1108</v>
      </c>
      <c r="B96" s="11" t="s">
        <v>94</v>
      </c>
      <c r="C96" s="11" t="s">
        <v>123</v>
      </c>
      <c r="D96" s="11">
        <v>93.0</v>
      </c>
      <c r="E96" s="11" t="s">
        <v>122</v>
      </c>
      <c r="F96" s="11">
        <v>1.0</v>
      </c>
      <c r="G96" s="11">
        <v>1.0</v>
      </c>
      <c r="H96" s="11">
        <v>0.0</v>
      </c>
      <c r="I96" s="11" t="s">
        <v>1109</v>
      </c>
      <c r="J96" s="11" t="s">
        <v>661</v>
      </c>
      <c r="K96" s="11" t="s">
        <v>1110</v>
      </c>
      <c r="L96" s="11" t="s">
        <v>1111</v>
      </c>
      <c r="M96" s="11" t="s">
        <v>72</v>
      </c>
      <c r="N96" s="11" t="s">
        <v>837</v>
      </c>
      <c r="O96" s="11" t="s">
        <v>125</v>
      </c>
      <c r="P96" s="11" t="s">
        <v>110</v>
      </c>
      <c r="Q96" s="11"/>
      <c r="R96" s="10"/>
      <c r="S96" s="10">
        <v>0.0</v>
      </c>
      <c r="T96" s="10"/>
      <c r="U96" s="10"/>
      <c r="V96" s="11">
        <v>1.0</v>
      </c>
      <c r="W96" s="10">
        <v>1.0</v>
      </c>
    </row>
    <row r="97" ht="16.5" customHeight="1">
      <c r="A97" s="10" t="s">
        <v>1112</v>
      </c>
      <c r="B97" s="11" t="s">
        <v>94</v>
      </c>
      <c r="C97" s="11" t="s">
        <v>1113</v>
      </c>
      <c r="D97" s="11">
        <v>94.0</v>
      </c>
      <c r="E97" s="11" t="s">
        <v>1114</v>
      </c>
      <c r="F97" s="11">
        <v>1.0</v>
      </c>
      <c r="G97" s="11">
        <v>1.0</v>
      </c>
      <c r="H97" s="11">
        <v>0.0</v>
      </c>
      <c r="I97" s="11" t="s">
        <v>1115</v>
      </c>
      <c r="J97" s="11" t="s">
        <v>661</v>
      </c>
      <c r="K97" s="11" t="s">
        <v>1116</v>
      </c>
      <c r="L97" s="11" t="s">
        <v>1117</v>
      </c>
      <c r="M97" s="12" t="s">
        <v>663</v>
      </c>
      <c r="N97" s="11" t="s">
        <v>712</v>
      </c>
      <c r="O97" s="11" t="s">
        <v>1118</v>
      </c>
      <c r="P97" s="11" t="s">
        <v>110</v>
      </c>
      <c r="Q97" s="11"/>
      <c r="R97" s="11"/>
      <c r="S97" s="11">
        <v>0.0</v>
      </c>
      <c r="T97" s="11"/>
      <c r="U97" s="11"/>
      <c r="V97" s="11">
        <v>1.0</v>
      </c>
      <c r="W97" s="10">
        <v>1.0</v>
      </c>
    </row>
    <row r="98">
      <c r="A98" s="11" t="s">
        <v>1119</v>
      </c>
      <c r="B98" s="11" t="s">
        <v>94</v>
      </c>
      <c r="C98" s="25" t="s">
        <v>1120</v>
      </c>
      <c r="D98" s="11">
        <v>95.0</v>
      </c>
      <c r="E98" s="11" t="s">
        <v>1121</v>
      </c>
      <c r="F98" s="11"/>
      <c r="G98" s="11">
        <v>1.0</v>
      </c>
      <c r="H98" s="11">
        <v>0.0</v>
      </c>
      <c r="I98" s="11" t="s">
        <v>1122</v>
      </c>
      <c r="J98" s="11" t="s">
        <v>661</v>
      </c>
      <c r="K98" s="11" t="s">
        <v>1123</v>
      </c>
      <c r="L98" s="11" t="s">
        <v>1124</v>
      </c>
      <c r="M98" s="11" t="s">
        <v>46</v>
      </c>
      <c r="N98" s="11" t="s">
        <v>664</v>
      </c>
      <c r="O98" s="11" t="s">
        <v>1118</v>
      </c>
      <c r="P98" s="11" t="s">
        <v>110</v>
      </c>
      <c r="Q98" s="11"/>
      <c r="R98" s="10"/>
      <c r="S98" s="10"/>
      <c r="T98" s="10"/>
      <c r="U98" s="10"/>
      <c r="V98" s="11"/>
      <c r="W98" s="10"/>
    </row>
    <row r="99" ht="15.0" customHeight="1">
      <c r="A99" s="10" t="s">
        <v>1125</v>
      </c>
      <c r="B99" s="11" t="s">
        <v>94</v>
      </c>
      <c r="C99" s="11" t="s">
        <v>1126</v>
      </c>
      <c r="D99" s="11">
        <v>96.0</v>
      </c>
      <c r="E99" s="11" t="s">
        <v>1127</v>
      </c>
      <c r="F99" s="11">
        <v>1.0</v>
      </c>
      <c r="G99" s="11">
        <v>1.0</v>
      </c>
      <c r="H99" s="11">
        <v>0.0</v>
      </c>
      <c r="I99" s="11" t="s">
        <v>1128</v>
      </c>
      <c r="J99" s="11" t="s">
        <v>661</v>
      </c>
      <c r="K99" s="11" t="s">
        <v>1129</v>
      </c>
      <c r="L99" s="11" t="s">
        <v>1130</v>
      </c>
      <c r="M99" s="12" t="s">
        <v>46</v>
      </c>
      <c r="N99" s="11" t="s">
        <v>664</v>
      </c>
      <c r="O99" s="16" t="s">
        <v>1131</v>
      </c>
      <c r="P99" s="11" t="s">
        <v>666</v>
      </c>
      <c r="Q99" s="11" t="s">
        <v>720</v>
      </c>
      <c r="R99" s="10"/>
      <c r="S99" s="10">
        <v>0.0</v>
      </c>
      <c r="T99" s="10"/>
      <c r="U99" s="10"/>
      <c r="V99" s="11">
        <v>1.0</v>
      </c>
      <c r="W99" s="10">
        <v>1.0</v>
      </c>
    </row>
    <row r="100">
      <c r="A100" s="10" t="s">
        <v>1132</v>
      </c>
      <c r="B100" s="11" t="s">
        <v>94</v>
      </c>
      <c r="C100" s="11" t="s">
        <v>113</v>
      </c>
      <c r="D100" s="11">
        <v>97.0</v>
      </c>
      <c r="E100" s="11" t="s">
        <v>1133</v>
      </c>
      <c r="F100" s="11">
        <v>1.0</v>
      </c>
      <c r="G100" s="11">
        <v>1.0</v>
      </c>
      <c r="H100" s="11">
        <v>0.0</v>
      </c>
      <c r="I100" s="10" t="s">
        <v>1134</v>
      </c>
      <c r="J100" s="11" t="s">
        <v>661</v>
      </c>
      <c r="K100" s="11" t="s">
        <v>1129</v>
      </c>
      <c r="L100" s="11" t="s">
        <v>1135</v>
      </c>
      <c r="M100" s="12" t="s">
        <v>46</v>
      </c>
      <c r="N100" s="11" t="s">
        <v>664</v>
      </c>
      <c r="O100" s="16" t="s">
        <v>1136</v>
      </c>
      <c r="P100" s="11" t="s">
        <v>666</v>
      </c>
      <c r="Q100" s="11" t="s">
        <v>720</v>
      </c>
      <c r="R100" s="10"/>
      <c r="S100" s="10">
        <v>0.0</v>
      </c>
      <c r="T100" s="10"/>
      <c r="U100" s="10"/>
      <c r="V100" s="11">
        <v>1.0</v>
      </c>
      <c r="W100" s="10">
        <v>1.0</v>
      </c>
    </row>
    <row r="101" ht="15.75" customHeight="1">
      <c r="A101" s="10" t="s">
        <v>1137</v>
      </c>
      <c r="B101" s="11" t="s">
        <v>94</v>
      </c>
      <c r="C101" s="11" t="s">
        <v>172</v>
      </c>
      <c r="D101" s="11">
        <v>98.0</v>
      </c>
      <c r="E101" s="11" t="s">
        <v>1138</v>
      </c>
      <c r="F101" s="11"/>
      <c r="G101" s="11"/>
      <c r="H101" s="11"/>
      <c r="I101" s="11" t="s">
        <v>1139</v>
      </c>
      <c r="J101" s="11" t="s">
        <v>661</v>
      </c>
      <c r="K101" s="11" t="s">
        <v>1140</v>
      </c>
      <c r="L101" s="11" t="s">
        <v>1141</v>
      </c>
      <c r="M101" s="11" t="s">
        <v>1142</v>
      </c>
      <c r="N101" s="11" t="s">
        <v>664</v>
      </c>
      <c r="O101" s="11" t="s">
        <v>110</v>
      </c>
      <c r="P101" s="11" t="s">
        <v>110</v>
      </c>
      <c r="Q101" s="11"/>
      <c r="R101" s="10"/>
      <c r="S101" s="10"/>
      <c r="T101" s="10"/>
      <c r="U101" s="10"/>
      <c r="V101" s="11"/>
      <c r="W101" s="10"/>
    </row>
    <row r="102" ht="15.75" customHeight="1">
      <c r="A102" s="26" t="s">
        <v>1143</v>
      </c>
      <c r="B102" s="11" t="s">
        <v>94</v>
      </c>
      <c r="C102" s="11" t="s">
        <v>177</v>
      </c>
      <c r="D102" s="11">
        <v>99.0</v>
      </c>
      <c r="E102" s="11" t="s">
        <v>1144</v>
      </c>
      <c r="F102" s="11"/>
      <c r="G102" s="11"/>
      <c r="H102" s="11"/>
      <c r="I102" s="11" t="s">
        <v>1145</v>
      </c>
      <c r="J102" s="11" t="s">
        <v>661</v>
      </c>
      <c r="K102" s="11" t="s">
        <v>1146</v>
      </c>
      <c r="L102" s="11" t="s">
        <v>165</v>
      </c>
      <c r="M102" s="11" t="s">
        <v>12</v>
      </c>
      <c r="N102" s="11" t="s">
        <v>664</v>
      </c>
      <c r="O102" s="11" t="s">
        <v>110</v>
      </c>
      <c r="P102" s="11" t="s">
        <v>110</v>
      </c>
      <c r="Q102" s="11"/>
      <c r="R102" s="10"/>
      <c r="S102" s="10"/>
      <c r="T102" s="10"/>
      <c r="U102" s="10"/>
      <c r="V102" s="11"/>
      <c r="W102" s="10"/>
    </row>
    <row r="103" ht="15.75" customHeight="1">
      <c r="A103" s="10" t="s">
        <v>1147</v>
      </c>
      <c r="B103" s="11" t="s">
        <v>94</v>
      </c>
      <c r="C103" s="11" t="s">
        <v>168</v>
      </c>
      <c r="D103" s="11">
        <v>100.0</v>
      </c>
      <c r="E103" s="11" t="s">
        <v>167</v>
      </c>
      <c r="F103" s="11">
        <v>1.0</v>
      </c>
      <c r="G103" s="11">
        <v>0.0</v>
      </c>
      <c r="H103" s="11">
        <v>0.0</v>
      </c>
      <c r="I103" s="11" t="s">
        <v>1148</v>
      </c>
      <c r="J103" s="11" t="s">
        <v>901</v>
      </c>
      <c r="K103" s="23"/>
      <c r="L103" s="11" t="s">
        <v>169</v>
      </c>
      <c r="M103" s="11" t="s">
        <v>46</v>
      </c>
      <c r="N103" s="11" t="s">
        <v>664</v>
      </c>
      <c r="O103" s="11" t="s">
        <v>110</v>
      </c>
      <c r="P103" s="11" t="s">
        <v>666</v>
      </c>
      <c r="Q103" s="11" t="s">
        <v>720</v>
      </c>
      <c r="R103" s="10"/>
      <c r="S103" s="10"/>
      <c r="T103" s="10" t="s">
        <v>884</v>
      </c>
      <c r="U103" s="10"/>
      <c r="V103" s="11">
        <v>-1.0</v>
      </c>
      <c r="W103" s="10">
        <v>-1.0</v>
      </c>
    </row>
  </sheetData>
  <customSheetViews>
    <customSheetView guid="{0DDC9D3C-17C5-4F49-BF69-DB22FD325268}" filter="1" showAutoFilter="1">
      <autoFilter ref="$A$1:$W$96">
        <filterColumn colId="1">
          <filters>
            <filter val="Climate"/>
            <filter val="Membership"/>
            <filter val="Targets"/>
          </filters>
        </filterColumn>
      </autoFilter>
    </customSheetView>
    <customSheetView guid="{0A5EDEEA-5901-4756-A671-BD42822B9057}" filter="1" showAutoFilter="1">
      <autoFilter ref="$A$10:$A$11"/>
    </customSheetView>
    <customSheetView guid="{5FBFCBF4-6E81-4D7D-8356-4C5F507B724C}" filter="1" showAutoFilter="1">
      <autoFilter ref="$A$1:$W$103">
        <filterColumn colId="1">
          <filters>
            <filter val="Good Business"/>
          </filters>
        </filterColumn>
      </autoFilter>
    </customSheetView>
    <customSheetView guid="{69FB41B5-2426-44FA-8C6A-823C9CF1D04E}" filter="1" showAutoFilter="1">
      <autoFilter ref="$C$1:$E$102"/>
    </customSheetView>
    <customSheetView guid="{8E2F2C8E-7563-4F20-A56C-B57D528813E9}" filter="1" showAutoFilter="1">
      <autoFilter ref="$A$1:$W$103">
        <filterColumn colId="1">
          <filters/>
        </filterColumn>
      </autoFilter>
    </customSheetView>
    <customSheetView guid="{B535DCAD-8091-4C4A-AF03-561E8895F3CD}" filter="1" showAutoFilter="1">
      <autoFilter ref="$A$1:$W$103"/>
    </customSheetView>
    <customSheetView guid="{9A1B5E87-2260-40EE-A61B-7046D8F6A315}" filter="1" showAutoFilter="1">
      <autoFilter ref="$A$1:$W$103">
        <filterColumn colId="1">
          <filters>
            <filter val="Membership"/>
            <filter val="Targets"/>
          </filters>
        </filterColumn>
      </autoFilter>
    </customSheetView>
    <customSheetView guid="{551865D7-EC70-47CC-8046-496C17825C84}" filter="1" showAutoFilter="1">
      <autoFilter ref="$A$1:$W$96"/>
    </customSheetView>
    <customSheetView guid="{CC18E927-817A-4473-8C4C-A499E9347B05}" filter="1" showAutoFilter="1">
      <autoFilter ref="$A$1:$W$96">
        <filterColumn colId="1">
          <filters>
            <filter val="Climate"/>
          </filters>
        </filterColumn>
      </autoFilter>
    </customSheetView>
  </customSheetViews>
  <dataValidations>
    <dataValidation type="list" allowBlank="1" showErrorMessage="1" sqref="J2:J103">
      <formula1>"None,By employees,By revenue"</formula1>
    </dataValidation>
    <dataValidation type="list" allowBlank="1" showErrorMessage="1" sqref="P2:P103">
      <formula1>"Annual Report,Additional Indicators,Targets,Programmatic "</formula1>
    </dataValidation>
    <dataValidation type="list" allowBlank="1" sqref="S2:S103">
      <formula1>"0,19(tax),100,Mean,Median,Max"</formula1>
    </dataValidation>
    <dataValidation type="list" allowBlank="1" sqref="T2:T103">
      <formula1>"Ignore,Normalise,Reverse Normalise,Normalise Around Zero,Normalise Excluding Zero"</formula1>
    </dataValidation>
    <dataValidation type="list" allowBlank="1" sqref="U2:U103">
      <formula1>"Square Transform,Square Root Transform,Absolute Transform"</formula1>
    </dataValidation>
    <dataValidation type="list" allowBlank="1" sqref="N2:N103">
      <formula1>"Binary,Categorical,Numeric,Text"</formula1>
    </dataValidation>
  </dataValidations>
  <hyperlinks>
    <hyperlink r:id="rId1" ref="O12"/>
    <hyperlink r:id="rId2" ref="O13"/>
    <hyperlink r:id="rId3" ref="O14"/>
    <hyperlink r:id="rId4" ref="O16"/>
    <hyperlink r:id="rId5" ref="O17"/>
    <hyperlink r:id="rId6" location="gid=0" ref="I32"/>
    <hyperlink r:id="rId7" location="gid=0" ref="I33"/>
    <hyperlink r:id="rId8" ref="I41"/>
    <hyperlink r:id="rId9" ref="I50"/>
    <hyperlink r:id="rId10" ref="I51"/>
    <hyperlink r:id="rId11" ref="I52"/>
    <hyperlink r:id="rId12" location="gid=0" ref="I59"/>
    <hyperlink r:id="rId13" ref="I63"/>
    <hyperlink r:id="rId14" ref="I64"/>
    <hyperlink r:id="rId15" ref="O65"/>
    <hyperlink r:id="rId16" ref="I69"/>
    <hyperlink r:id="rId17" ref="I70"/>
    <hyperlink r:id="rId18" location="gid=0" ref="I84"/>
    <hyperlink r:id="rId19" ref="I95"/>
    <hyperlink r:id="rId20" ref="O95"/>
    <hyperlink r:id="rId21" ref="O99"/>
    <hyperlink r:id="rId22" ref="O100"/>
  </hyperlinks>
  <printOptions gridLines="1" horizontalCentered="1"/>
  <pageMargins bottom="0.75" footer="0.0" header="0.0" left="0.7" right="0.7" top="0.75"/>
  <pageSetup fitToHeight="0" paperSize="9" cellComments="atEnd" orientation="portrait" pageOrder="overThenDown"/>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3.0"/>
    <col customWidth="1" min="3" max="3" width="19.25"/>
    <col customWidth="1" min="4" max="4" width="13.25"/>
    <col customWidth="1" min="6" max="6" width="18.63"/>
    <col customWidth="1" min="7" max="7" width="15.75"/>
    <col customWidth="1" min="8" max="9" width="19.88"/>
    <col customWidth="1" min="10" max="10" width="22.0"/>
  </cols>
  <sheetData>
    <row r="1">
      <c r="A1" s="27" t="s">
        <v>1149</v>
      </c>
      <c r="B1" s="27" t="s">
        <v>1150</v>
      </c>
      <c r="C1" s="27" t="s">
        <v>1151</v>
      </c>
      <c r="D1" s="28" t="s">
        <v>1152</v>
      </c>
      <c r="E1" s="28" t="s">
        <v>1153</v>
      </c>
      <c r="F1" s="28" t="s">
        <v>1154</v>
      </c>
      <c r="G1" s="28" t="s">
        <v>1155</v>
      </c>
      <c r="H1" s="28" t="s">
        <v>1156</v>
      </c>
      <c r="I1" s="28" t="s">
        <v>1157</v>
      </c>
      <c r="J1" s="28" t="s">
        <v>1158</v>
      </c>
      <c r="K1" s="29" t="s">
        <v>1159</v>
      </c>
      <c r="L1" s="27" t="s">
        <v>1160</v>
      </c>
      <c r="M1" s="30" t="s">
        <v>1161</v>
      </c>
    </row>
    <row r="2">
      <c r="A2" s="21" t="s">
        <v>1162</v>
      </c>
      <c r="B2" s="21" t="s">
        <v>1163</v>
      </c>
      <c r="C2" s="21" t="str">
        <f t="array" ref="C2">xlookup(B2, sectors!A:A, sectors!A:A)</f>
        <v>Airtel Africa</v>
      </c>
      <c r="D2" s="21" t="str">
        <f t="shared" ref="D2:D7" si="1">left(E2, 3)</f>
        <v>AAF</v>
      </c>
      <c r="E2" s="21" t="s">
        <v>1164</v>
      </c>
      <c r="F2" s="31" t="str">
        <f t="array" ref="F2">xlookup(A2, sectors!B:B, sectors!C:C)</f>
        <v>Retail &amp; Services</v>
      </c>
      <c r="G2" s="21" t="str">
        <f t="array" ref="G2">XLOOKUP(A2, sectors!B:B, sectors!E:E)</f>
        <v>Telecommunications</v>
      </c>
      <c r="H2" s="32" t="s">
        <v>1165</v>
      </c>
      <c r="I2" s="32" t="s">
        <v>1166</v>
      </c>
      <c r="J2" s="33" t="str">
        <f t="shared" ref="J2:J23" si="2">"https://find-and-update.company-information.service.gov.uk/company/"&amp;$I2</f>
        <v>https://find-and-update.company-information.service.gov.uk/company/11462215</v>
      </c>
      <c r="K2" s="21" t="s">
        <v>1167</v>
      </c>
      <c r="L2" s="21"/>
      <c r="M2" s="34" t="s">
        <v>1168</v>
      </c>
    </row>
    <row r="3">
      <c r="A3" s="21" t="s">
        <v>1169</v>
      </c>
      <c r="B3" s="21" t="s">
        <v>1170</v>
      </c>
      <c r="C3" s="21" t="s">
        <v>1171</v>
      </c>
      <c r="D3" s="21" t="str">
        <f t="shared" si="1"/>
        <v>AAL</v>
      </c>
      <c r="E3" s="21" t="s">
        <v>1172</v>
      </c>
      <c r="F3" s="31" t="str">
        <f t="array" ref="F3">xlookup(A3, sectors!B:B, sectors!C:C)</f>
        <v>Mining &amp; Extraction</v>
      </c>
      <c r="G3" s="21" t="str">
        <f t="array" ref="G3">XLOOKUP(A3, sectors!B:B, sectors!E:E)</f>
        <v>Mining</v>
      </c>
      <c r="H3" s="32" t="s">
        <v>1173</v>
      </c>
      <c r="I3" s="32" t="s">
        <v>1174</v>
      </c>
      <c r="J3" s="33" t="str">
        <f t="shared" si="2"/>
        <v>https://find-and-update.company-information.service.gov.uk/company/03564138</v>
      </c>
      <c r="K3" s="21" t="s">
        <v>1175</v>
      </c>
      <c r="L3" s="21" t="s">
        <v>1176</v>
      </c>
      <c r="M3" s="34" t="s">
        <v>1177</v>
      </c>
    </row>
    <row r="4">
      <c r="A4" s="21" t="s">
        <v>1178</v>
      </c>
      <c r="B4" s="21" t="s">
        <v>1179</v>
      </c>
      <c r="C4" s="21" t="str">
        <f t="array" ref="C4">xlookup(B4, sectors!A:A, sectors!A:A)</f>
        <v>Abrdn</v>
      </c>
      <c r="D4" s="21" t="str">
        <f t="shared" si="1"/>
        <v>ABD</v>
      </c>
      <c r="E4" s="21" t="s">
        <v>1180</v>
      </c>
      <c r="F4" s="31" t="str">
        <f t="array" ref="F4">xlookup(A4, sectors!B:B, sectors!C:C)</f>
        <v>Financial Services</v>
      </c>
      <c r="G4" s="21" t="str">
        <f t="array" ref="G4">XLOOKUP(A4, sectors!B:B, sectors!E:E)</f>
        <v>Financial Services</v>
      </c>
      <c r="H4" s="32" t="s">
        <v>1181</v>
      </c>
      <c r="I4" s="32" t="s">
        <v>1182</v>
      </c>
      <c r="J4" s="33" t="str">
        <f t="shared" si="2"/>
        <v>https://find-and-update.company-information.service.gov.uk/company/SC286832</v>
      </c>
      <c r="K4" s="21" t="s">
        <v>1183</v>
      </c>
      <c r="L4" s="21" t="s">
        <v>1184</v>
      </c>
      <c r="M4" s="34" t="s">
        <v>1185</v>
      </c>
    </row>
    <row r="5">
      <c r="A5" s="21" t="s">
        <v>1186</v>
      </c>
      <c r="B5" s="21" t="s">
        <v>1187</v>
      </c>
      <c r="C5" s="21" t="str">
        <f t="array" ref="C5">xlookup(B5, sectors!A:A, sectors!A:A)</f>
        <v>Associated British Foods</v>
      </c>
      <c r="D5" s="21" t="str">
        <f t="shared" si="1"/>
        <v>ABF</v>
      </c>
      <c r="E5" s="21" t="s">
        <v>1188</v>
      </c>
      <c r="F5" s="31" t="str">
        <f t="array" ref="F5">xlookup(A5, sectors!B:B, sectors!C:C)</f>
        <v>Food &amp; Beverage</v>
      </c>
      <c r="G5" s="21" t="str">
        <f t="array" ref="G5">XLOOKUP(A5, sectors!B:B, sectors!E:E)</f>
        <v>Food Producers</v>
      </c>
      <c r="H5" s="32" t="s">
        <v>1189</v>
      </c>
      <c r="I5" s="32" t="s">
        <v>1190</v>
      </c>
      <c r="J5" s="33" t="str">
        <f t="shared" si="2"/>
        <v>https://find-and-update.company-information.service.gov.uk/company/00293262</v>
      </c>
      <c r="K5" s="21" t="s">
        <v>1191</v>
      </c>
      <c r="L5" s="21" t="s">
        <v>1187</v>
      </c>
      <c r="M5" s="34" t="s">
        <v>1192</v>
      </c>
    </row>
    <row r="6">
      <c r="A6" s="21" t="s">
        <v>1193</v>
      </c>
      <c r="B6" s="21" t="s">
        <v>1194</v>
      </c>
      <c r="C6" s="21" t="str">
        <f t="array" ref="C6">xlookup(B6, sectors!A:A, sectors!A:A)</f>
        <v>Admiral Group</v>
      </c>
      <c r="D6" s="21" t="str">
        <f t="shared" si="1"/>
        <v>ADM</v>
      </c>
      <c r="E6" s="21" t="s">
        <v>1195</v>
      </c>
      <c r="F6" s="31" t="str">
        <f t="array" ref="F6">xlookup(A6, sectors!B:B, sectors!C:C)</f>
        <v>Financial Services</v>
      </c>
      <c r="G6" s="21" t="str">
        <f t="array" ref="G6">XLOOKUP(A6, sectors!B:B, sectors!E:E)</f>
        <v>Non-life Insurance</v>
      </c>
      <c r="H6" s="32" t="s">
        <v>1196</v>
      </c>
      <c r="I6" s="32" t="s">
        <v>1197</v>
      </c>
      <c r="J6" s="33" t="str">
        <f t="shared" si="2"/>
        <v>https://find-and-update.company-information.service.gov.uk/company/03849958</v>
      </c>
      <c r="K6" s="21" t="s">
        <v>1198</v>
      </c>
      <c r="L6" s="21" t="s">
        <v>1194</v>
      </c>
      <c r="M6" s="34" t="s">
        <v>1199</v>
      </c>
    </row>
    <row r="7">
      <c r="A7" s="21" t="s">
        <v>1200</v>
      </c>
      <c r="B7" s="21" t="s">
        <v>1201</v>
      </c>
      <c r="C7" s="21" t="str">
        <f t="array" ref="C7">xlookup(B7, sectors!A:A, sectors!A:A)</f>
        <v>Ashtead Group</v>
      </c>
      <c r="D7" s="21" t="str">
        <f t="shared" si="1"/>
        <v>AHT</v>
      </c>
      <c r="E7" s="21" t="s">
        <v>1202</v>
      </c>
      <c r="F7" s="31" t="str">
        <f t="array" ref="F7">xlookup(A7, sectors!B:B, sectors!C:C)</f>
        <v>Retail &amp; Services</v>
      </c>
      <c r="G7" s="21" t="str">
        <f t="array" ref="G7">XLOOKUP(A7, sectors!B:B, sectors!E:E)</f>
        <v>Support Services</v>
      </c>
      <c r="H7" s="32" t="s">
        <v>1203</v>
      </c>
      <c r="I7" s="32" t="s">
        <v>1204</v>
      </c>
      <c r="J7" s="33" t="str">
        <f t="shared" si="2"/>
        <v>https://find-and-update.company-information.service.gov.uk/company/01807982</v>
      </c>
      <c r="K7" s="21" t="s">
        <v>1205</v>
      </c>
      <c r="L7" s="21" t="s">
        <v>1206</v>
      </c>
      <c r="M7" s="34" t="s">
        <v>1207</v>
      </c>
    </row>
    <row r="8">
      <c r="A8" s="21" t="s">
        <v>1208</v>
      </c>
      <c r="B8" s="21" t="s">
        <v>1209</v>
      </c>
      <c r="C8" s="21" t="s">
        <v>1210</v>
      </c>
      <c r="D8" s="21" t="s">
        <v>1208</v>
      </c>
      <c r="E8" s="21" t="s">
        <v>1211</v>
      </c>
      <c r="F8" s="31" t="str">
        <f t="array" ref="F8">xlookup(A8, sectors!B:B, sectors!C:C)</f>
        <v>Mining &amp; Extraction</v>
      </c>
      <c r="G8" s="21" t="str">
        <f t="array" ref="G8">XLOOKUP(A8, sectors!B:B, sectors!E:E)</f>
        <v>Mining</v>
      </c>
      <c r="H8" s="32" t="s">
        <v>1212</v>
      </c>
      <c r="I8" s="32" t="s">
        <v>1213</v>
      </c>
      <c r="J8" s="33" t="str">
        <f t="shared" si="2"/>
        <v>https://find-and-update.company-information.service.gov.uk/company/01627889</v>
      </c>
      <c r="K8" s="21" t="s">
        <v>1214</v>
      </c>
      <c r="L8" s="21"/>
      <c r="M8" s="34" t="s">
        <v>1215</v>
      </c>
    </row>
    <row r="9">
      <c r="A9" s="21" t="s">
        <v>1216</v>
      </c>
      <c r="B9" s="21" t="s">
        <v>1217</v>
      </c>
      <c r="C9" s="21" t="str">
        <f t="array" ref="C9">xlookup(B9, sectors!A:A, sectors!A:A)</f>
        <v>Auto Trader Group</v>
      </c>
      <c r="D9" s="21" t="s">
        <v>1216</v>
      </c>
      <c r="E9" s="21" t="s">
        <v>1218</v>
      </c>
      <c r="F9" s="31" t="str">
        <f t="array" ref="F9">xlookup(A9, sectors!B:B, sectors!C:C)</f>
        <v>Retail &amp; Services</v>
      </c>
      <c r="G9" s="21" t="str">
        <f t="array" ref="G9">XLOOKUP(A9, sectors!B:B, sectors!E:E)</f>
        <v>Media</v>
      </c>
      <c r="H9" s="32" t="s">
        <v>1219</v>
      </c>
      <c r="I9" s="32" t="s">
        <v>1220</v>
      </c>
      <c r="J9" s="33" t="str">
        <f t="shared" si="2"/>
        <v>https://find-and-update.company-information.service.gov.uk/company/09439967</v>
      </c>
      <c r="K9" s="21" t="s">
        <v>1221</v>
      </c>
      <c r="L9" s="21"/>
      <c r="M9" s="34" t="s">
        <v>1222</v>
      </c>
    </row>
    <row r="10">
      <c r="A10" s="21" t="s">
        <v>1223</v>
      </c>
      <c r="B10" s="21" t="s">
        <v>1224</v>
      </c>
      <c r="C10" s="21" t="str">
        <f t="array" ref="C10">xlookup(B10, sectors!A:A, sectors!A:A)</f>
        <v>Aviva</v>
      </c>
      <c r="D10" s="21" t="str">
        <f t="shared" ref="D10:D12" si="3">left(E10, 3)</f>
        <v>AV.</v>
      </c>
      <c r="E10" s="21" t="s">
        <v>1225</v>
      </c>
      <c r="F10" s="31" t="str">
        <f t="array" ref="F10">xlookup(A10, sectors!B:B, sectors!C:C)</f>
        <v>Financial Services</v>
      </c>
      <c r="G10" s="21" t="str">
        <f t="array" ref="G10">XLOOKUP(A10, sectors!B:B, sectors!E:E)</f>
        <v>Life Insurance</v>
      </c>
      <c r="H10" s="32" t="s">
        <v>1226</v>
      </c>
      <c r="I10" s="32" t="s">
        <v>1227</v>
      </c>
      <c r="J10" s="33" t="str">
        <f t="shared" si="2"/>
        <v>https://find-and-update.company-information.service.gov.uk/company/02468686</v>
      </c>
      <c r="K10" s="21" t="s">
        <v>1228</v>
      </c>
      <c r="L10" s="21"/>
      <c r="M10" s="34" t="s">
        <v>1229</v>
      </c>
    </row>
    <row r="11">
      <c r="A11" s="21" t="s">
        <v>1230</v>
      </c>
      <c r="B11" s="21" t="s">
        <v>1231</v>
      </c>
      <c r="C11" s="21" t="str">
        <f t="array" ref="C11">xlookup(B11, sectors!A:A, sectors!A:A)</f>
        <v>AstraZeneca</v>
      </c>
      <c r="D11" s="21" t="str">
        <f t="shared" si="3"/>
        <v>AZN</v>
      </c>
      <c r="E11" s="21" t="s">
        <v>1232</v>
      </c>
      <c r="F11" s="31" t="str">
        <f t="array" ref="F11">xlookup(A11, sectors!B:B, sectors!C:C)</f>
        <v>Healthcare &amp; Pharmaceutical </v>
      </c>
      <c r="G11" s="21" t="str">
        <f t="array" ref="G11">XLOOKUP(A11, sectors!B:B, sectors!E:E)</f>
        <v>Pharmaceuticals &amp; Biotechnology</v>
      </c>
      <c r="H11" s="32" t="s">
        <v>1233</v>
      </c>
      <c r="I11" s="32" t="s">
        <v>1234</v>
      </c>
      <c r="J11" s="33" t="str">
        <f t="shared" si="2"/>
        <v>https://find-and-update.company-information.service.gov.uk/company/02723534</v>
      </c>
      <c r="K11" s="21" t="s">
        <v>1235</v>
      </c>
      <c r="L11" s="21" t="s">
        <v>1236</v>
      </c>
      <c r="M11" s="34" t="s">
        <v>1237</v>
      </c>
    </row>
    <row r="12">
      <c r="A12" s="21" t="s">
        <v>1238</v>
      </c>
      <c r="B12" s="21" t="s">
        <v>1239</v>
      </c>
      <c r="C12" s="21" t="str">
        <f t="array" ref="C12">xlookup(B12, sectors!A:A, sectors!A:A)</f>
        <v>BAE Systems</v>
      </c>
      <c r="D12" s="21" t="str">
        <f t="shared" si="3"/>
        <v>BA.</v>
      </c>
      <c r="E12" s="21" t="s">
        <v>1240</v>
      </c>
      <c r="F12" s="31" t="str">
        <f t="array" ref="F12">xlookup(A12, sectors!B:B, sectors!C:C)</f>
        <v>Engineering &amp; Construction</v>
      </c>
      <c r="G12" s="21" t="str">
        <f t="array" ref="G12">XLOOKUP(A12, sectors!B:B, sectors!E:E)</f>
        <v>Aerospace &amp; Defence</v>
      </c>
      <c r="H12" s="32" t="s">
        <v>1241</v>
      </c>
      <c r="I12" s="32" t="s">
        <v>1242</v>
      </c>
      <c r="J12" s="33" t="str">
        <f t="shared" si="2"/>
        <v>https://find-and-update.company-information.service.gov.uk/company/01470151</v>
      </c>
      <c r="K12" s="21" t="s">
        <v>1243</v>
      </c>
      <c r="L12" s="21" t="s">
        <v>1239</v>
      </c>
      <c r="M12" s="34" t="s">
        <v>1244</v>
      </c>
    </row>
    <row r="13">
      <c r="A13" s="21" t="s">
        <v>1245</v>
      </c>
      <c r="B13" s="21" t="s">
        <v>1246</v>
      </c>
      <c r="C13" s="21" t="str">
        <f t="array" ref="C13">xlookup(B13, sectors!A:A, sectors!A:A)</f>
        <v>Barclays</v>
      </c>
      <c r="D13" s="21" t="s">
        <v>1245</v>
      </c>
      <c r="E13" s="21" t="s">
        <v>1247</v>
      </c>
      <c r="F13" s="31" t="str">
        <f t="array" ref="F13">xlookup(A13, sectors!B:B, sectors!C:C)</f>
        <v>Financial Services</v>
      </c>
      <c r="G13" s="21" t="str">
        <f t="array" ref="G13">XLOOKUP(A13, sectors!B:B, sectors!E:E)</f>
        <v>Banks</v>
      </c>
      <c r="H13" s="32" t="s">
        <v>1248</v>
      </c>
      <c r="I13" s="32" t="s">
        <v>1249</v>
      </c>
      <c r="J13" s="33" t="str">
        <f t="shared" si="2"/>
        <v>https://find-and-update.company-information.service.gov.uk/company/00048839</v>
      </c>
      <c r="K13" s="21" t="s">
        <v>1250</v>
      </c>
      <c r="L13" s="21" t="s">
        <v>1246</v>
      </c>
      <c r="M13" s="34" t="s">
        <v>1251</v>
      </c>
    </row>
    <row r="14">
      <c r="A14" s="21" t="s">
        <v>1252</v>
      </c>
      <c r="B14" s="21" t="s">
        <v>1253</v>
      </c>
      <c r="C14" s="21" t="str">
        <f t="array" ref="C14">xlookup(B14, sectors!A:A, sectors!A:A)</f>
        <v>British American Tobacco</v>
      </c>
      <c r="D14" s="21" t="s">
        <v>1252</v>
      </c>
      <c r="E14" s="21" t="s">
        <v>1254</v>
      </c>
      <c r="F14" s="31" t="str">
        <f t="array" ref="F14">xlookup(A14, sectors!B:B, sectors!C:C)</f>
        <v>Tobacco</v>
      </c>
      <c r="G14" s="21" t="str">
        <f t="array" ref="G14">XLOOKUP(A14, sectors!B:B, sectors!E:E)</f>
        <v>Tobacco</v>
      </c>
      <c r="H14" s="32" t="s">
        <v>1255</v>
      </c>
      <c r="I14" s="32" t="s">
        <v>1256</v>
      </c>
      <c r="J14" s="33" t="str">
        <f t="shared" si="2"/>
        <v>https://find-and-update.company-information.service.gov.uk/company/03407696</v>
      </c>
      <c r="K14" s="21" t="s">
        <v>1257</v>
      </c>
      <c r="L14" s="21" t="s">
        <v>1253</v>
      </c>
      <c r="M14" s="34" t="s">
        <v>1258</v>
      </c>
    </row>
    <row r="15">
      <c r="A15" s="21" t="s">
        <v>1259</v>
      </c>
      <c r="B15" s="21" t="s">
        <v>1260</v>
      </c>
      <c r="C15" s="21" t="str">
        <f t="array" ref="C15">xlookup(B15, sectors!A:A, sectors!A:A)</f>
        <v>Barratt Developments</v>
      </c>
      <c r="D15" s="21" t="s">
        <v>1259</v>
      </c>
      <c r="E15" s="21" t="s">
        <v>1261</v>
      </c>
      <c r="F15" s="31" t="str">
        <f t="array" ref="F15">xlookup(A15, sectors!B:B, sectors!C:C)</f>
        <v>Engineering &amp; Construction</v>
      </c>
      <c r="G15" s="21" t="str">
        <f t="array" ref="G15">XLOOKUP(A15, sectors!B:B, sectors!E:E)</f>
        <v>Household Goods &amp; Home Construction</v>
      </c>
      <c r="H15" s="32" t="s">
        <v>1262</v>
      </c>
      <c r="I15" s="32" t="s">
        <v>1263</v>
      </c>
      <c r="J15" s="33" t="str">
        <f t="shared" si="2"/>
        <v>https://find-and-update.company-information.service.gov.uk/company/00604574</v>
      </c>
      <c r="K15" s="21" t="s">
        <v>1264</v>
      </c>
      <c r="L15" s="21"/>
      <c r="M15" s="34" t="s">
        <v>1265</v>
      </c>
    </row>
    <row r="16">
      <c r="A16" s="21" t="s">
        <v>1266</v>
      </c>
      <c r="B16" s="21" t="s">
        <v>1267</v>
      </c>
      <c r="C16" s="21" t="s">
        <v>1268</v>
      </c>
      <c r="D16" s="21" t="str">
        <f t="shared" ref="D16:D17" si="4">left(E16, 3)</f>
        <v>BEZ</v>
      </c>
      <c r="E16" s="21" t="s">
        <v>1269</v>
      </c>
      <c r="F16" s="31" t="str">
        <f t="array" ref="F16">xlookup(A16, sectors!B:B, sectors!C:C)</f>
        <v>Financial Services</v>
      </c>
      <c r="G16" s="21" t="str">
        <f t="array" ref="G16">XLOOKUP(A16, sectors!B:B, sectors!E:E)</f>
        <v>Insurance</v>
      </c>
      <c r="H16" s="35" t="s">
        <v>1270</v>
      </c>
      <c r="I16" s="32" t="s">
        <v>1271</v>
      </c>
      <c r="J16" s="33" t="str">
        <f t="shared" si="2"/>
        <v>https://find-and-update.company-information.service.gov.uk/company/09763575</v>
      </c>
      <c r="K16" s="21" t="s">
        <v>1272</v>
      </c>
      <c r="L16" s="21"/>
      <c r="M16" s="34" t="s">
        <v>1273</v>
      </c>
    </row>
    <row r="17">
      <c r="A17" s="21" t="s">
        <v>1274</v>
      </c>
      <c r="B17" s="21" t="s">
        <v>1275</v>
      </c>
      <c r="C17" s="21" t="str">
        <f t="array" ref="C17">xlookup(B17, sectors!A:A, sectors!A:A)</f>
        <v>Berkeley Group Holdings</v>
      </c>
      <c r="D17" s="21" t="str">
        <f t="shared" si="4"/>
        <v>BKG</v>
      </c>
      <c r="E17" s="21" t="s">
        <v>1276</v>
      </c>
      <c r="F17" s="31" t="str">
        <f t="array" ref="F17">xlookup(A17, sectors!B:B, sectors!C:C)</f>
        <v>Engineering &amp; Construction</v>
      </c>
      <c r="G17" s="21" t="str">
        <f t="array" ref="G17">XLOOKUP(A17, sectors!B:B, sectors!E:E)</f>
        <v>Household Goods &amp; Home Construction</v>
      </c>
      <c r="H17" s="32" t="s">
        <v>1277</v>
      </c>
      <c r="I17" s="32" t="s">
        <v>1278</v>
      </c>
      <c r="J17" s="33" t="str">
        <f t="shared" si="2"/>
        <v>https://find-and-update.company-information.service.gov.uk/company/05172586</v>
      </c>
      <c r="K17" s="21" t="s">
        <v>1279</v>
      </c>
      <c r="L17" s="21"/>
      <c r="M17" s="34" t="s">
        <v>1280</v>
      </c>
    </row>
    <row r="18">
      <c r="A18" s="21" t="s">
        <v>1281</v>
      </c>
      <c r="B18" s="21" t="s">
        <v>1282</v>
      </c>
      <c r="C18" s="21" t="s">
        <v>1283</v>
      </c>
      <c r="D18" s="21" t="s">
        <v>1281</v>
      </c>
      <c r="E18" s="21" t="s">
        <v>1284</v>
      </c>
      <c r="F18" s="31" t="str">
        <f t="array" ref="F18">xlookup(A18, sectors!B:B, sectors!C:C)</f>
        <v>Real Estate</v>
      </c>
      <c r="G18" s="21" t="str">
        <f t="array" ref="G18">XLOOKUP(A18, sectors!B:B, sectors!E:E)</f>
        <v>Real Estate Investment Trusts</v>
      </c>
      <c r="H18" s="32" t="s">
        <v>1285</v>
      </c>
      <c r="I18" s="32" t="s">
        <v>1286</v>
      </c>
      <c r="J18" s="33" t="str">
        <f t="shared" si="2"/>
        <v>https://find-and-update.company-information.service.gov.uk/company/00621920</v>
      </c>
      <c r="K18" s="21" t="s">
        <v>1287</v>
      </c>
      <c r="L18" s="21"/>
      <c r="M18" s="34" t="s">
        <v>1288</v>
      </c>
    </row>
    <row r="19">
      <c r="A19" s="21" t="s">
        <v>1289</v>
      </c>
      <c r="B19" s="21" t="s">
        <v>1290</v>
      </c>
      <c r="C19" s="21" t="s">
        <v>1291</v>
      </c>
      <c r="D19" s="21" t="str">
        <f>left(E19, 3)</f>
        <v>BME</v>
      </c>
      <c r="E19" s="21" t="s">
        <v>1292</v>
      </c>
      <c r="F19" s="31" t="str">
        <f t="array" ref="F19">xlookup(A19, sectors!B:B, sectors!C:C)</f>
        <v>Retail &amp; Services</v>
      </c>
      <c r="G19" s="21" t="str">
        <f t="array" ref="G19">XLOOKUP(A19, sectors!B:B, sectors!E:E)</f>
        <v>Retailers</v>
      </c>
      <c r="H19" s="32" t="s">
        <v>1293</v>
      </c>
      <c r="I19" s="32" t="s">
        <v>1294</v>
      </c>
      <c r="J19" s="33" t="str">
        <f t="shared" si="2"/>
        <v>https://find-and-update.company-information.service.gov.uk/company/08309974</v>
      </c>
      <c r="K19" s="21" t="s">
        <v>1295</v>
      </c>
      <c r="L19" s="21"/>
      <c r="M19" s="34" t="s">
        <v>1296</v>
      </c>
    </row>
    <row r="20">
      <c r="A20" s="21" t="s">
        <v>1297</v>
      </c>
      <c r="B20" s="21" t="s">
        <v>1298</v>
      </c>
      <c r="C20" s="21" t="str">
        <f t="array" ref="C20">xlookup(B20, sectors!A:A, sectors!A:A)</f>
        <v>Bunzl</v>
      </c>
      <c r="D20" s="21" t="s">
        <v>1297</v>
      </c>
      <c r="E20" s="21" t="s">
        <v>1299</v>
      </c>
      <c r="F20" s="31" t="str">
        <f t="array" ref="F20">xlookup(A20, sectors!B:B, sectors!C:C)</f>
        <v>Retail &amp; Services</v>
      </c>
      <c r="G20" s="21" t="str">
        <f t="array" ref="G20">XLOOKUP(A20, sectors!B:B, sectors!E:E)</f>
        <v>Support Services</v>
      </c>
      <c r="H20" s="32" t="s">
        <v>1300</v>
      </c>
      <c r="I20" s="32" t="s">
        <v>1301</v>
      </c>
      <c r="J20" s="33" t="str">
        <f t="shared" si="2"/>
        <v>https://find-and-update.company-information.service.gov.uk/company/00358948</v>
      </c>
      <c r="K20" s="21" t="s">
        <v>1302</v>
      </c>
      <c r="L20" s="21"/>
      <c r="M20" s="34" t="s">
        <v>1303</v>
      </c>
    </row>
    <row r="21">
      <c r="A21" s="21" t="s">
        <v>1304</v>
      </c>
      <c r="B21" s="21" t="s">
        <v>1305</v>
      </c>
      <c r="C21" s="21" t="str">
        <f t="array" ref="C21">xlookup(B21, sectors!A:A, sectors!A:A)</f>
        <v>BP</v>
      </c>
      <c r="D21" s="21" t="str">
        <f>left(E21, 3)</f>
        <v>BP.</v>
      </c>
      <c r="E21" s="21" t="s">
        <v>1306</v>
      </c>
      <c r="F21" s="31" t="str">
        <f t="array" ref="F21">xlookup(A21, sectors!B:B, sectors!C:C)</f>
        <v>Mining &amp; Extraction</v>
      </c>
      <c r="G21" s="21" t="str">
        <f t="array" ref="G21">XLOOKUP(A21, sectors!B:B, sectors!E:E)</f>
        <v>Oil &amp; Gas Producers</v>
      </c>
      <c r="H21" s="32" t="s">
        <v>1307</v>
      </c>
      <c r="I21" s="32" t="s">
        <v>1308</v>
      </c>
      <c r="J21" s="33" t="str">
        <f t="shared" si="2"/>
        <v>https://find-and-update.company-information.service.gov.uk/company/00102498</v>
      </c>
      <c r="K21" s="21" t="s">
        <v>1309</v>
      </c>
      <c r="L21" s="21" t="s">
        <v>1305</v>
      </c>
      <c r="M21" s="34" t="s">
        <v>1310</v>
      </c>
    </row>
    <row r="22">
      <c r="A22" s="21" t="s">
        <v>1311</v>
      </c>
      <c r="B22" s="21" t="s">
        <v>1312</v>
      </c>
      <c r="C22" s="21" t="s">
        <v>1313</v>
      </c>
      <c r="D22" s="21" t="s">
        <v>1311</v>
      </c>
      <c r="E22" s="21" t="s">
        <v>1314</v>
      </c>
      <c r="F22" s="31" t="str">
        <f t="array" ref="F22">xlookup(A22, sectors!B:B, sectors!C:C)</f>
        <v>Retail &amp; Services</v>
      </c>
      <c r="G22" s="21" t="str">
        <f t="array" ref="G22">XLOOKUP(A22, sectors!B:B, sectors!E:E)</f>
        <v>Personal Goods</v>
      </c>
      <c r="H22" s="32" t="s">
        <v>1315</v>
      </c>
      <c r="I22" s="32" t="s">
        <v>1316</v>
      </c>
      <c r="J22" s="33" t="str">
        <f t="shared" si="2"/>
        <v>https://find-and-update.company-information.service.gov.uk/company/03458224</v>
      </c>
      <c r="K22" s="21" t="s">
        <v>1317</v>
      </c>
      <c r="L22" s="21" t="s">
        <v>1312</v>
      </c>
      <c r="M22" s="34" t="s">
        <v>1318</v>
      </c>
    </row>
    <row r="23">
      <c r="A23" s="21" t="s">
        <v>1319</v>
      </c>
      <c r="B23" s="21" t="s">
        <v>1320</v>
      </c>
      <c r="C23" s="21" t="str">
        <f t="array" ref="C23">xlookup(B23, sectors!A:A, sectors!A:A)</f>
        <v>BT Group</v>
      </c>
      <c r="D23" s="21" t="s">
        <v>1319</v>
      </c>
      <c r="E23" s="21" t="s">
        <v>1321</v>
      </c>
      <c r="F23" s="31" t="str">
        <f t="array" ref="F23">xlookup(A23, sectors!B:B, sectors!C:C)</f>
        <v>Retail &amp; Services</v>
      </c>
      <c r="G23" s="21" t="str">
        <f t="array" ref="G23">XLOOKUP(A23, sectors!B:B, sectors!E:E)</f>
        <v>Fixed Line Telecommunications</v>
      </c>
      <c r="H23" s="32" t="s">
        <v>1322</v>
      </c>
      <c r="I23" s="32" t="s">
        <v>1323</v>
      </c>
      <c r="J23" s="33" t="str">
        <f t="shared" si="2"/>
        <v>https://find-and-update.company-information.service.gov.uk/company/04190816</v>
      </c>
      <c r="K23" s="21" t="s">
        <v>1324</v>
      </c>
      <c r="L23" s="21" t="s">
        <v>1325</v>
      </c>
      <c r="M23" s="34" t="s">
        <v>1326</v>
      </c>
    </row>
    <row r="24">
      <c r="A24" s="21" t="s">
        <v>1327</v>
      </c>
      <c r="B24" s="21" t="s">
        <v>1328</v>
      </c>
      <c r="C24" s="21" t="s">
        <v>1329</v>
      </c>
      <c r="D24" s="21" t="str">
        <f t="shared" ref="D24:D26" si="5">left(E24, 3)</f>
        <v>CCH</v>
      </c>
      <c r="E24" s="21" t="s">
        <v>1330</v>
      </c>
      <c r="F24" s="31" t="str">
        <f t="array" ref="F24">xlookup(A24, sectors!B:B, sectors!C:C)</f>
        <v>Food &amp; Beverage</v>
      </c>
      <c r="G24" s="21" t="str">
        <f t="array" ref="G24">XLOOKUP(A24, sectors!B:B, sectors!E:E)</f>
        <v>Beverages</v>
      </c>
      <c r="H24" s="32" t="s">
        <v>1331</v>
      </c>
      <c r="I24" s="32" t="s">
        <v>1332</v>
      </c>
      <c r="J24" s="32"/>
      <c r="K24" s="21" t="s">
        <v>1333</v>
      </c>
      <c r="L24" s="21"/>
      <c r="M24" s="34" t="s">
        <v>1334</v>
      </c>
    </row>
    <row r="25">
      <c r="A25" s="21" t="s">
        <v>1335</v>
      </c>
      <c r="B25" s="21" t="s">
        <v>1336</v>
      </c>
      <c r="C25" s="21" t="str">
        <f t="array" ref="C25">xlookup(B25, sectors!A:A, sectors!A:A)</f>
        <v>Centrica</v>
      </c>
      <c r="D25" s="21" t="str">
        <f t="shared" si="5"/>
        <v>CNA</v>
      </c>
      <c r="E25" s="21" t="s">
        <v>1337</v>
      </c>
      <c r="F25" s="31" t="str">
        <f t="array" ref="F25">xlookup(A25, sectors!B:B, sectors!C:C)</f>
        <v>Engineering &amp; Construction</v>
      </c>
      <c r="G25" s="21" t="str">
        <f t="array" ref="G25">XLOOKUP(A25, sectors!B:B, sectors!E:E)</f>
        <v>Utilities</v>
      </c>
      <c r="H25" s="32" t="s">
        <v>1338</v>
      </c>
      <c r="I25" s="32" t="s">
        <v>1339</v>
      </c>
      <c r="J25" s="33" t="str">
        <f t="shared" ref="J25:J27" si="6">"https://find-and-update.company-information.service.gov.uk/company/"&amp;$I25</f>
        <v>https://find-and-update.company-information.service.gov.uk/company/03033654</v>
      </c>
      <c r="K25" s="21" t="s">
        <v>1340</v>
      </c>
      <c r="L25" s="21"/>
      <c r="M25" s="34" t="s">
        <v>1341</v>
      </c>
    </row>
    <row r="26">
      <c r="A26" s="21" t="s">
        <v>1342</v>
      </c>
      <c r="B26" s="21" t="s">
        <v>1343</v>
      </c>
      <c r="C26" s="21" t="str">
        <f t="array" ref="C26">xlookup(B26, sectors!A:A, sectors!A:A)</f>
        <v>Compass Group</v>
      </c>
      <c r="D26" s="21" t="str">
        <f t="shared" si="5"/>
        <v>CPG</v>
      </c>
      <c r="E26" s="21" t="s">
        <v>1344</v>
      </c>
      <c r="F26" s="31" t="str">
        <f t="array" ref="F26">xlookup(A26, sectors!B:B, sectors!C:C)</f>
        <v>Hospitality</v>
      </c>
      <c r="G26" s="21" t="str">
        <f t="array" ref="G26">XLOOKUP(A26, sectors!B:B, sectors!E:E)</f>
        <v>Support Services</v>
      </c>
      <c r="H26" s="32" t="s">
        <v>1345</v>
      </c>
      <c r="I26" s="32" t="s">
        <v>1346</v>
      </c>
      <c r="J26" s="33" t="str">
        <f t="shared" si="6"/>
        <v>https://find-and-update.company-information.service.gov.uk/company/04083914</v>
      </c>
      <c r="K26" s="21" t="s">
        <v>1347</v>
      </c>
      <c r="L26" s="21" t="s">
        <v>1343</v>
      </c>
      <c r="M26" s="34" t="s">
        <v>1348</v>
      </c>
    </row>
    <row r="27">
      <c r="A27" s="21" t="s">
        <v>1349</v>
      </c>
      <c r="B27" s="21" t="s">
        <v>1350</v>
      </c>
      <c r="C27" s="21" t="str">
        <f t="array" ref="C27">xlookup(B27, sectors!A:A, sectors!A:A)</f>
        <v>Croda International</v>
      </c>
      <c r="D27" s="21" t="s">
        <v>1349</v>
      </c>
      <c r="E27" s="21" t="s">
        <v>1351</v>
      </c>
      <c r="F27" s="31" t="str">
        <f t="array" ref="F27">xlookup(A27, sectors!B:B, sectors!C:C)</f>
        <v>Engineering &amp; Construction</v>
      </c>
      <c r="G27" s="21" t="str">
        <f t="array" ref="G27">XLOOKUP(A27, sectors!B:B, sectors!E:E)</f>
        <v>Chemicals</v>
      </c>
      <c r="H27" s="32" t="s">
        <v>1352</v>
      </c>
      <c r="I27" s="32" t="s">
        <v>1353</v>
      </c>
      <c r="J27" s="33" t="str">
        <f t="shared" si="6"/>
        <v>https://find-and-update.company-information.service.gov.uk/company/00206132</v>
      </c>
      <c r="K27" s="21" t="s">
        <v>1354</v>
      </c>
      <c r="L27" s="21"/>
      <c r="M27" s="34" t="s">
        <v>1355</v>
      </c>
    </row>
    <row r="28">
      <c r="A28" s="21" t="s">
        <v>1356</v>
      </c>
      <c r="B28" s="21" t="s">
        <v>1356</v>
      </c>
      <c r="C28" s="21" t="s">
        <v>1357</v>
      </c>
      <c r="D28" s="21" t="str">
        <f>left(E28, 3)</f>
        <v>CRH</v>
      </c>
      <c r="E28" s="21" t="s">
        <v>1358</v>
      </c>
      <c r="F28" s="31" t="str">
        <f t="array" ref="F28">xlookup(A28, sectors!B:B, sectors!C:C)</f>
        <v>Engineering &amp; Construction</v>
      </c>
      <c r="G28" s="21" t="str">
        <f t="array" ref="G28">XLOOKUP(A28, sectors!B:B, sectors!E:E)</f>
        <v>Construction &amp; Materials</v>
      </c>
      <c r="H28" s="32" t="s">
        <v>1359</v>
      </c>
      <c r="I28" s="32" t="s">
        <v>1332</v>
      </c>
      <c r="J28" s="32"/>
      <c r="K28" s="21" t="s">
        <v>1360</v>
      </c>
      <c r="L28" s="21" t="s">
        <v>1361</v>
      </c>
      <c r="M28" s="34" t="s">
        <v>1362</v>
      </c>
    </row>
    <row r="29">
      <c r="A29" s="21" t="s">
        <v>1363</v>
      </c>
      <c r="B29" s="21" t="s">
        <v>1364</v>
      </c>
      <c r="C29" s="21" t="s">
        <v>1365</v>
      </c>
      <c r="D29" s="21" t="s">
        <v>1363</v>
      </c>
      <c r="E29" s="21" t="s">
        <v>1366</v>
      </c>
      <c r="F29" s="31" t="str">
        <f t="array" ref="F29">xlookup(A29, sectors!B:B, sectors!C:C)</f>
        <v>Healthcare &amp; Pharmaceutical </v>
      </c>
      <c r="G29" s="21" t="str">
        <f t="array" ref="G29">XLOOKUP(A29, sectors!B:B, sectors!E:E)</f>
        <v>Health Care</v>
      </c>
      <c r="H29" s="32" t="s">
        <v>1367</v>
      </c>
      <c r="I29" s="32" t="s">
        <v>1368</v>
      </c>
      <c r="J29" s="33" t="str">
        <f>"https://find-and-update.company-information.service.gov.uk/company/"&amp;$I29</f>
        <v>https://find-and-update.company-information.service.gov.uk/company/10361298</v>
      </c>
      <c r="K29" s="21" t="s">
        <v>1369</v>
      </c>
      <c r="L29" s="21"/>
      <c r="M29" s="34" t="s">
        <v>1370</v>
      </c>
    </row>
    <row r="30">
      <c r="A30" s="21" t="s">
        <v>1371</v>
      </c>
      <c r="B30" s="21" t="s">
        <v>1371</v>
      </c>
      <c r="C30" s="21" t="s">
        <v>1372</v>
      </c>
      <c r="D30" s="21" t="str">
        <f t="shared" ref="D30:D32" si="7">left(E30, 3)</f>
        <v>DCC</v>
      </c>
      <c r="E30" s="21" t="s">
        <v>1373</v>
      </c>
      <c r="F30" s="31" t="str">
        <f t="array" ref="F30">xlookup(A30, sectors!B:B, sectors!C:C)</f>
        <v>Retail &amp; Services</v>
      </c>
      <c r="G30" s="21" t="str">
        <f t="array" ref="G30">XLOOKUP(A30, sectors!B:B, sectors!E:E)</f>
        <v>Support Services</v>
      </c>
      <c r="H30" s="32" t="s">
        <v>1374</v>
      </c>
      <c r="I30" s="32" t="s">
        <v>1332</v>
      </c>
      <c r="J30" s="32"/>
      <c r="K30" s="21" t="s">
        <v>1375</v>
      </c>
      <c r="L30" s="21"/>
      <c r="M30" s="34" t="s">
        <v>1376</v>
      </c>
    </row>
    <row r="31">
      <c r="A31" s="21" t="s">
        <v>1377</v>
      </c>
      <c r="B31" s="21" t="s">
        <v>1378</v>
      </c>
      <c r="C31" s="21" t="str">
        <f t="array" ref="C31">xlookup(B31, sectors!A:A, sectors!A:A)</f>
        <v>Diageo</v>
      </c>
      <c r="D31" s="21" t="str">
        <f t="shared" si="7"/>
        <v>DGE</v>
      </c>
      <c r="E31" s="21" t="s">
        <v>1379</v>
      </c>
      <c r="F31" s="31" t="str">
        <f t="array" ref="F31">xlookup(A31, sectors!B:B, sectors!C:C)</f>
        <v>Food &amp; Beverage</v>
      </c>
      <c r="G31" s="21" t="str">
        <f t="array" ref="G31">XLOOKUP(A31, sectors!B:B, sectors!E:E)</f>
        <v>Beverages</v>
      </c>
      <c r="H31" s="32" t="s">
        <v>1380</v>
      </c>
      <c r="I31" s="32" t="s">
        <v>1381</v>
      </c>
      <c r="J31" s="33" t="str">
        <f t="shared" ref="J31:J32" si="8">"https://find-and-update.company-information.service.gov.uk/company/"&amp;$I31</f>
        <v>https://find-and-update.company-information.service.gov.uk/company/00023307</v>
      </c>
      <c r="K31" s="21" t="s">
        <v>1382</v>
      </c>
      <c r="L31" s="21" t="s">
        <v>1378</v>
      </c>
      <c r="M31" s="34" t="s">
        <v>1383</v>
      </c>
    </row>
    <row r="32">
      <c r="A32" s="21" t="s">
        <v>1384</v>
      </c>
      <c r="B32" s="21" t="s">
        <v>1385</v>
      </c>
      <c r="C32" s="21" t="str">
        <f t="array" ref="C32">xlookup(B32, sectors!A:A, sectors!A:A)</f>
        <v>Endeavour Mining</v>
      </c>
      <c r="D32" s="21" t="str">
        <f t="shared" si="7"/>
        <v>EDV</v>
      </c>
      <c r="E32" s="21" t="s">
        <v>1386</v>
      </c>
      <c r="F32" s="31" t="str">
        <f t="array" ref="F32">xlookup(A32, sectors!B:B, sectors!C:C)</f>
        <v>Mining &amp; Extraction</v>
      </c>
      <c r="G32" s="21" t="str">
        <f t="array" ref="G32">XLOOKUP(A32, sectors!B:B, sectors!E:E)</f>
        <v>Mining</v>
      </c>
      <c r="H32" s="32" t="s">
        <v>1387</v>
      </c>
      <c r="I32" s="32" t="s">
        <v>1388</v>
      </c>
      <c r="J32" s="33" t="str">
        <f t="shared" si="8"/>
        <v>https://find-and-update.company-information.service.gov.uk/company/13280545</v>
      </c>
      <c r="K32" s="21" t="s">
        <v>1389</v>
      </c>
      <c r="L32" s="21"/>
      <c r="M32" s="34" t="s">
        <v>1390</v>
      </c>
    </row>
    <row r="33">
      <c r="A33" s="21" t="s">
        <v>1391</v>
      </c>
      <c r="B33" s="21" t="s">
        <v>1392</v>
      </c>
      <c r="C33" s="21" t="str">
        <f t="array" ref="C33">xlookup(B33, sectors!A:A, sectors!A:A)</f>
        <v>Experian</v>
      </c>
      <c r="D33" s="21" t="s">
        <v>1391</v>
      </c>
      <c r="E33" s="21" t="s">
        <v>1393</v>
      </c>
      <c r="F33" s="31" t="str">
        <f t="array" ref="F33">xlookup(A33, sectors!B:B, sectors!C:C)</f>
        <v>Retail &amp; Services</v>
      </c>
      <c r="G33" s="21" t="str">
        <f t="array" ref="G33">XLOOKUP(A33, sectors!B:B, sectors!E:E)</f>
        <v>Support Services</v>
      </c>
      <c r="H33" s="32" t="s">
        <v>1394</v>
      </c>
      <c r="I33" s="32" t="s">
        <v>1332</v>
      </c>
      <c r="J33" s="32"/>
      <c r="K33" s="21" t="s">
        <v>1395</v>
      </c>
      <c r="L33" s="21" t="s">
        <v>1392</v>
      </c>
      <c r="M33" s="34" t="s">
        <v>1396</v>
      </c>
    </row>
    <row r="34">
      <c r="A34" s="21" t="s">
        <v>1397</v>
      </c>
      <c r="B34" s="21" t="s">
        <v>1398</v>
      </c>
      <c r="C34" s="21" t="s">
        <v>1399</v>
      </c>
      <c r="D34" s="21" t="s">
        <v>1397</v>
      </c>
      <c r="E34" s="21" t="s">
        <v>1400</v>
      </c>
      <c r="F34" s="31" t="str">
        <f t="array" ref="F34">xlookup(A34, sectors!B:B, sectors!C:C)</f>
        <v>Financial Services</v>
      </c>
      <c r="G34" s="21" t="str">
        <f t="array" ref="G34">XLOOKUP(A34, sectors!B:B, sectors!E:E)</f>
        <v>Financial Services</v>
      </c>
      <c r="H34" s="32" t="s">
        <v>1401</v>
      </c>
      <c r="I34" s="32" t="s">
        <v>1402</v>
      </c>
      <c r="J34" s="33" t="str">
        <f>"https://find-and-update.company-information.service.gov.uk/company/"&amp;$I34</f>
        <v>https://find-and-update.company-information.service.gov.uk/company/00012901</v>
      </c>
      <c r="K34" s="21" t="s">
        <v>1403</v>
      </c>
      <c r="L34" s="21"/>
      <c r="M34" s="34" t="s">
        <v>1404</v>
      </c>
    </row>
    <row r="35">
      <c r="A35" s="21" t="s">
        <v>1405</v>
      </c>
      <c r="B35" s="21" t="s">
        <v>1406</v>
      </c>
      <c r="C35" s="21" t="str">
        <f t="array" ref="C35">xlookup(B35, sectors!A:A, sectors!A:A)</f>
        <v>Flutter Entertainment</v>
      </c>
      <c r="D35" s="21" t="s">
        <v>1405</v>
      </c>
      <c r="E35" s="21" t="s">
        <v>1407</v>
      </c>
      <c r="F35" s="31" t="str">
        <f t="array" ref="F35">xlookup(A35, sectors!B:B, sectors!C:C)</f>
        <v>Retail &amp; Services</v>
      </c>
      <c r="G35" s="21" t="str">
        <f t="array" ref="G35">XLOOKUP(A35, sectors!B:B, sectors!E:E)</f>
        <v>Travel &amp; Leisure</v>
      </c>
      <c r="H35" s="32" t="s">
        <v>1408</v>
      </c>
      <c r="I35" s="32" t="s">
        <v>1332</v>
      </c>
      <c r="J35" s="32"/>
      <c r="K35" s="21" t="s">
        <v>1409</v>
      </c>
      <c r="L35" s="21"/>
      <c r="M35" s="34" t="s">
        <v>1410</v>
      </c>
    </row>
    <row r="36">
      <c r="A36" s="21" t="s">
        <v>1411</v>
      </c>
      <c r="B36" s="21" t="s">
        <v>1412</v>
      </c>
      <c r="C36" s="21" t="str">
        <f t="array" ref="C36">xlookup(B36, sectors!A:A, sectors!A:A)</f>
        <v>Frasers Group</v>
      </c>
      <c r="D36" s="21" t="s">
        <v>1411</v>
      </c>
      <c r="E36" s="21" t="s">
        <v>1413</v>
      </c>
      <c r="F36" s="31" t="str">
        <f t="array" ref="F36">xlookup(A36, sectors!B:B, sectors!C:C)</f>
        <v>Real Estate</v>
      </c>
      <c r="G36" s="21" t="str">
        <f t="array" ref="G36">XLOOKUP(A36, sectors!B:B, sectors!E:E)</f>
        <v>Retail</v>
      </c>
      <c r="H36" s="35" t="s">
        <v>1414</v>
      </c>
      <c r="I36" s="32" t="s">
        <v>1415</v>
      </c>
      <c r="J36" s="33" t="str">
        <f t="shared" ref="J36:J37" si="9">"https://find-and-update.company-information.service.gov.uk/company/"&amp;$I36</f>
        <v>https://find-and-update.company-information.service.gov.uk/company/06035106</v>
      </c>
      <c r="K36" s="21" t="s">
        <v>1416</v>
      </c>
      <c r="L36" s="21" t="s">
        <v>1417</v>
      </c>
      <c r="M36" s="34" t="s">
        <v>1418</v>
      </c>
    </row>
    <row r="37">
      <c r="A37" s="21" t="s">
        <v>1419</v>
      </c>
      <c r="B37" s="21" t="s">
        <v>1420</v>
      </c>
      <c r="C37" s="21" t="s">
        <v>1421</v>
      </c>
      <c r="D37" s="21" t="s">
        <v>1419</v>
      </c>
      <c r="E37" s="21" t="s">
        <v>1422</v>
      </c>
      <c r="F37" s="31" t="str">
        <f t="array" ref="F37">xlookup(A37, sectors!B:B, sectors!C:C)</f>
        <v>Mining &amp; Extraction</v>
      </c>
      <c r="G37" s="21" t="str">
        <f t="array" ref="G37">XLOOKUP(A37, sectors!B:B, sectors!E:E)</f>
        <v>Mining</v>
      </c>
      <c r="H37" s="32" t="s">
        <v>1423</v>
      </c>
      <c r="I37" s="32" t="s">
        <v>1424</v>
      </c>
      <c r="J37" s="33" t="str">
        <f t="shared" si="9"/>
        <v>https://find-and-update.company-information.service.gov.uk/company/06344120</v>
      </c>
      <c r="K37" s="21" t="s">
        <v>1425</v>
      </c>
      <c r="L37" s="21"/>
      <c r="M37" s="34" t="s">
        <v>1426</v>
      </c>
    </row>
    <row r="38">
      <c r="A38" s="21" t="s">
        <v>1427</v>
      </c>
      <c r="B38" s="21" t="s">
        <v>1428</v>
      </c>
      <c r="C38" s="21" t="str">
        <f t="array" ref="C38">xlookup(B38, sectors!A:A, sectors!A:A)</f>
        <v>Glencore</v>
      </c>
      <c r="D38" s="21" t="s">
        <v>1427</v>
      </c>
      <c r="E38" s="21" t="s">
        <v>1429</v>
      </c>
      <c r="F38" s="31" t="str">
        <f t="array" ref="F38">xlookup(A38, sectors!B:B, sectors!C:C)</f>
        <v>Mining &amp; Extraction</v>
      </c>
      <c r="G38" s="21" t="str">
        <f t="array" ref="G38">XLOOKUP(A38, sectors!B:B, sectors!E:E)</f>
        <v>Mining</v>
      </c>
      <c r="H38" s="32" t="s">
        <v>1430</v>
      </c>
      <c r="I38" s="32" t="s">
        <v>1332</v>
      </c>
      <c r="J38" s="32"/>
      <c r="K38" s="21" t="s">
        <v>1431</v>
      </c>
      <c r="L38" s="21" t="s">
        <v>1428</v>
      </c>
      <c r="M38" s="34" t="s">
        <v>1432</v>
      </c>
    </row>
    <row r="39">
      <c r="A39" s="21" t="s">
        <v>1433</v>
      </c>
      <c r="B39" s="21" t="s">
        <v>1433</v>
      </c>
      <c r="C39" s="21" t="s">
        <v>1434</v>
      </c>
      <c r="D39" s="21" t="str">
        <f t="shared" ref="D39:D41" si="10">left(E39, 3)</f>
        <v>GSK</v>
      </c>
      <c r="E39" s="21" t="s">
        <v>1435</v>
      </c>
      <c r="F39" s="31" t="str">
        <f t="array" ref="F39">xlookup(A39, sectors!B:B, sectors!C:C)</f>
        <v>Healthcare &amp; Pharmaceutical </v>
      </c>
      <c r="G39" s="21" t="str">
        <f t="array" ref="G39">XLOOKUP(A39, sectors!B:B, sectors!E:E)</f>
        <v>Pharmaceuticals &amp; Biotechnology</v>
      </c>
      <c r="H39" s="32" t="s">
        <v>1436</v>
      </c>
      <c r="I39" s="32" t="s">
        <v>1437</v>
      </c>
      <c r="J39" s="33" t="str">
        <f>"https://find-and-update.company-information.service.gov.uk/company/"&amp;$I39</f>
        <v>https://find-and-update.company-information.service.gov.uk/company/03888792</v>
      </c>
      <c r="K39" s="21" t="s">
        <v>1438</v>
      </c>
      <c r="L39" s="21" t="s">
        <v>1439</v>
      </c>
      <c r="M39" s="34" t="s">
        <v>1440</v>
      </c>
    </row>
    <row r="40">
      <c r="A40" s="21" t="s">
        <v>1441</v>
      </c>
      <c r="B40" s="21" t="s">
        <v>1442</v>
      </c>
      <c r="C40" s="21" t="str">
        <f t="array" ref="C40">xlookup(B40, sectors!A:A, sectors!A:A)</f>
        <v>Entain</v>
      </c>
      <c r="D40" s="21" t="str">
        <f t="shared" si="10"/>
        <v>ENT</v>
      </c>
      <c r="E40" s="21" t="s">
        <v>1443</v>
      </c>
      <c r="F40" s="31" t="str">
        <f t="array" ref="F40">xlookup(A40, sectors!B:B, sectors!C:C)</f>
        <v>Retail &amp; Services</v>
      </c>
      <c r="G40" s="31" t="str">
        <f t="array" ref="G40">XLOOKUP(A40, sectors!B:B, sectors!E:E)</f>
        <v>Travel &amp; Leisure</v>
      </c>
      <c r="H40" s="32" t="s">
        <v>1444</v>
      </c>
      <c r="I40" s="32" t="s">
        <v>1332</v>
      </c>
      <c r="J40" s="32"/>
      <c r="K40" s="21" t="s">
        <v>1445</v>
      </c>
      <c r="L40" s="21"/>
      <c r="M40" s="34" t="s">
        <v>1446</v>
      </c>
    </row>
    <row r="41">
      <c r="A41" s="21" t="s">
        <v>1447</v>
      </c>
      <c r="B41" s="21" t="s">
        <v>1448</v>
      </c>
      <c r="C41" s="21" t="str">
        <f t="array" ref="C41">xlookup(B41, sectors!A:A, sectors!A:A)</f>
        <v>Hargreaves Lansdown</v>
      </c>
      <c r="D41" s="21" t="str">
        <f t="shared" si="10"/>
        <v>HL.</v>
      </c>
      <c r="E41" s="21" t="s">
        <v>1449</v>
      </c>
      <c r="F41" s="31" t="str">
        <f t="array" ref="F41">xlookup(A41, sectors!B:B, sectors!C:C)</f>
        <v>Financial Services</v>
      </c>
      <c r="G41" s="21" t="str">
        <f t="array" ref="G41">XLOOKUP(A41, sectors!B:B, sectors!E:E)</f>
        <v>Financial Services</v>
      </c>
      <c r="H41" s="32" t="s">
        <v>1450</v>
      </c>
      <c r="I41" s="32" t="s">
        <v>1451</v>
      </c>
      <c r="J41" s="33" t="str">
        <f t="shared" ref="J41:J66" si="11">"https://find-and-update.company-information.service.gov.uk/company/"&amp;$I41</f>
        <v>https://find-and-update.company-information.service.gov.uk/company/02122142</v>
      </c>
      <c r="K41" s="21" t="s">
        <v>1452</v>
      </c>
      <c r="L41" s="21"/>
      <c r="M41" s="34" t="s">
        <v>1453</v>
      </c>
    </row>
    <row r="42">
      <c r="A42" s="21" t="s">
        <v>1454</v>
      </c>
      <c r="B42" s="21" t="s">
        <v>1455</v>
      </c>
      <c r="C42" s="21" t="s">
        <v>1456</v>
      </c>
      <c r="D42" s="21" t="s">
        <v>1454</v>
      </c>
      <c r="E42" s="21" t="s">
        <v>1457</v>
      </c>
      <c r="F42" s="31" t="str">
        <f t="array" ref="F42">xlookup(A42, sectors!B:B, sectors!C:C)</f>
        <v>Retail &amp; Services</v>
      </c>
      <c r="G42" s="21" t="str">
        <f t="array" ref="G42">XLOOKUP(A42, sectors!B:B, sectors!E:E)</f>
        <v>Electronic &amp; Electrical Equipment</v>
      </c>
      <c r="H42" s="32" t="s">
        <v>1458</v>
      </c>
      <c r="I42" s="32" t="s">
        <v>1459</v>
      </c>
      <c r="J42" s="33" t="str">
        <f t="shared" si="11"/>
        <v>https://find-and-update.company-information.service.gov.uk/company/00040932</v>
      </c>
      <c r="K42" s="21" t="s">
        <v>1460</v>
      </c>
      <c r="L42" s="21"/>
      <c r="M42" s="34" t="s">
        <v>1461</v>
      </c>
    </row>
    <row r="43">
      <c r="A43" s="21" t="s">
        <v>1462</v>
      </c>
      <c r="B43" s="21" t="s">
        <v>1463</v>
      </c>
      <c r="C43" s="21" t="str">
        <f t="array" ref="C43">xlookup(B43, sectors!A:A, sectors!A:A)</f>
        <v>Haleon</v>
      </c>
      <c r="D43" s="21" t="str">
        <f>left(E43, 3)</f>
        <v>HLN</v>
      </c>
      <c r="E43" s="21" t="s">
        <v>1464</v>
      </c>
      <c r="F43" s="31" t="str">
        <f t="array" ref="F43">xlookup(A43, sectors!B:B, sectors!C:C)</f>
        <v>Healthcare &amp; Pharmaceutical </v>
      </c>
      <c r="G43" s="21" t="str">
        <f t="array" ref="G43">XLOOKUP(A43, sectors!B:B, sectors!E:E)</f>
        <v>Pharmaceuticals &amp; Biotechnology</v>
      </c>
      <c r="H43" s="32" t="s">
        <v>1465</v>
      </c>
      <c r="I43" s="32" t="s">
        <v>1466</v>
      </c>
      <c r="J43" s="33" t="str">
        <f t="shared" si="11"/>
        <v>https://find-and-update.company-information.service.gov.uk/company/13691224</v>
      </c>
      <c r="K43" s="21" t="s">
        <v>1467</v>
      </c>
      <c r="L43" s="21"/>
      <c r="M43" s="34" t="s">
        <v>1468</v>
      </c>
    </row>
    <row r="44">
      <c r="A44" s="21" t="s">
        <v>1469</v>
      </c>
      <c r="B44" s="21" t="s">
        <v>1470</v>
      </c>
      <c r="C44" s="21" t="s">
        <v>1471</v>
      </c>
      <c r="D44" s="21" t="s">
        <v>1469</v>
      </c>
      <c r="E44" s="21" t="s">
        <v>1472</v>
      </c>
      <c r="F44" s="31" t="str">
        <f t="array" ref="F44">xlookup(A44, sectors!B:B, sectors!C:C)</f>
        <v>Financial Services</v>
      </c>
      <c r="G44" s="21" t="str">
        <f t="array" ref="G44">XLOOKUP(A44, sectors!B:B, sectors!E:E)</f>
        <v>Banks</v>
      </c>
      <c r="H44" s="32" t="s">
        <v>1473</v>
      </c>
      <c r="I44" s="32" t="s">
        <v>1474</v>
      </c>
      <c r="J44" s="33" t="str">
        <f t="shared" si="11"/>
        <v>https://find-and-update.company-information.service.gov.uk/company/00617987</v>
      </c>
      <c r="K44" s="21" t="s">
        <v>1475</v>
      </c>
      <c r="L44" s="21" t="s">
        <v>1470</v>
      </c>
      <c r="M44" s="34" t="s">
        <v>1476</v>
      </c>
    </row>
    <row r="45">
      <c r="A45" s="21" t="s">
        <v>1477</v>
      </c>
      <c r="B45" s="21" t="s">
        <v>1478</v>
      </c>
      <c r="C45" s="21" t="s">
        <v>1479</v>
      </c>
      <c r="D45" s="21" t="str">
        <f t="shared" ref="D45:D50" si="12">left(E45, 3)</f>
        <v>HSX</v>
      </c>
      <c r="E45" s="21" t="s">
        <v>1480</v>
      </c>
      <c r="F45" s="31" t="str">
        <f t="array" ref="F45">xlookup(A45, sectors!B:B, sectors!C:C)</f>
        <v>Financial Services</v>
      </c>
      <c r="G45" s="21" t="str">
        <f t="array" ref="G45">XLOOKUP(A45, sectors!B:B, sectors!E:E)</f>
        <v>Insurance</v>
      </c>
      <c r="H45" s="35" t="s">
        <v>1481</v>
      </c>
      <c r="I45" s="32" t="s">
        <v>1482</v>
      </c>
      <c r="J45" s="33" t="str">
        <f t="shared" si="11"/>
        <v>https://find-and-update.company-information.service.gov.uk/company/02837811</v>
      </c>
      <c r="K45" s="21" t="s">
        <v>1483</v>
      </c>
      <c r="L45" s="21"/>
      <c r="M45" s="34" t="s">
        <v>1484</v>
      </c>
    </row>
    <row r="46">
      <c r="A46" s="21" t="s">
        <v>1485</v>
      </c>
      <c r="B46" s="21" t="s">
        <v>1486</v>
      </c>
      <c r="C46" s="21" t="s">
        <v>1487</v>
      </c>
      <c r="D46" s="21" t="str">
        <f t="shared" si="12"/>
        <v>IAG</v>
      </c>
      <c r="E46" s="21" t="s">
        <v>1488</v>
      </c>
      <c r="F46" s="31" t="str">
        <f t="array" ref="F46">xlookup(A46, sectors!B:B, sectors!C:C)</f>
        <v>Hospitality</v>
      </c>
      <c r="G46" s="21" t="str">
        <f t="array" ref="G46">XLOOKUP(A46, sectors!B:B, sectors!E:E)</f>
        <v>Travel &amp; Leisure</v>
      </c>
      <c r="H46" s="32" t="s">
        <v>1489</v>
      </c>
      <c r="I46" s="32" t="s">
        <v>1490</v>
      </c>
      <c r="J46" s="33" t="str">
        <f t="shared" si="11"/>
        <v>https://find-and-update.company-information.service.gov.uk/company/FC029884</v>
      </c>
      <c r="K46" s="21" t="s">
        <v>1491</v>
      </c>
      <c r="L46" s="21" t="s">
        <v>1486</v>
      </c>
      <c r="M46" s="34" t="s">
        <v>1492</v>
      </c>
    </row>
    <row r="47">
      <c r="A47" s="21" t="s">
        <v>1493</v>
      </c>
      <c r="B47" s="21" t="s">
        <v>1494</v>
      </c>
      <c r="C47" s="21" t="s">
        <v>1495</v>
      </c>
      <c r="D47" s="21" t="str">
        <f t="shared" si="12"/>
        <v>IHG</v>
      </c>
      <c r="E47" s="21" t="s">
        <v>1496</v>
      </c>
      <c r="F47" s="31" t="str">
        <f t="array" ref="F47">xlookup(A47, sectors!B:B, sectors!C:C)</f>
        <v>Hospitality</v>
      </c>
      <c r="G47" s="21" t="str">
        <f t="array" ref="G47">XLOOKUP(A47, sectors!B:B, sectors!E:E)</f>
        <v>Travel &amp; Leisure</v>
      </c>
      <c r="H47" s="32" t="s">
        <v>1497</v>
      </c>
      <c r="I47" s="32" t="s">
        <v>1498</v>
      </c>
      <c r="J47" s="33" t="str">
        <f t="shared" si="11"/>
        <v>https://find-and-update.company-information.service.gov.uk/company/05134420</v>
      </c>
      <c r="K47" s="21" t="s">
        <v>1499</v>
      </c>
      <c r="L47" s="21" t="s">
        <v>1500</v>
      </c>
      <c r="M47" s="34" t="s">
        <v>1501</v>
      </c>
    </row>
    <row r="48">
      <c r="A48" s="21" t="s">
        <v>1502</v>
      </c>
      <c r="B48" s="21" t="s">
        <v>1503</v>
      </c>
      <c r="C48" s="21" t="s">
        <v>1504</v>
      </c>
      <c r="D48" s="21" t="str">
        <f t="shared" si="12"/>
        <v>III</v>
      </c>
      <c r="E48" s="21" t="s">
        <v>1505</v>
      </c>
      <c r="F48" s="31" t="str">
        <f t="array" ref="F48">xlookup(A48, sectors!B:B, sectors!C:C)</f>
        <v>Financial Services</v>
      </c>
      <c r="G48" s="31" t="str">
        <f t="array" ref="G48">XLOOKUP(A48, sectors!B:B, sectors!E:E)</f>
        <v>Financial Services</v>
      </c>
      <c r="H48" s="32" t="s">
        <v>1506</v>
      </c>
      <c r="I48" s="32" t="s">
        <v>1507</v>
      </c>
      <c r="J48" s="33" t="str">
        <f t="shared" si="11"/>
        <v>https://find-and-update.company-information.service.gov.uk/company/01142830</v>
      </c>
      <c r="K48" s="21" t="s">
        <v>1503</v>
      </c>
      <c r="L48" s="21"/>
      <c r="M48" s="34" t="s">
        <v>1508</v>
      </c>
    </row>
    <row r="49">
      <c r="A49" s="21" t="s">
        <v>1509</v>
      </c>
      <c r="B49" s="21" t="s">
        <v>1510</v>
      </c>
      <c r="C49" s="21" t="str">
        <f t="array" ref="C49">xlookup(B49, sectors!A:A, sectors!A:A)</f>
        <v>Imperial Brands</v>
      </c>
      <c r="D49" s="21" t="str">
        <f t="shared" si="12"/>
        <v>IMB</v>
      </c>
      <c r="E49" s="21" t="s">
        <v>1511</v>
      </c>
      <c r="F49" s="31" t="str">
        <f t="array" ref="F49">xlookup(A49, sectors!B:B, sectors!C:C)</f>
        <v>Tobacco</v>
      </c>
      <c r="G49" s="21" t="str">
        <f t="array" ref="G49">XLOOKUP(A49, sectors!B:B, sectors!E:E)</f>
        <v>Tobacco</v>
      </c>
      <c r="H49" s="32" t="s">
        <v>1512</v>
      </c>
      <c r="I49" s="32" t="s">
        <v>1513</v>
      </c>
      <c r="J49" s="33" t="str">
        <f t="shared" si="11"/>
        <v>https://find-and-update.company-information.service.gov.uk/company/03236483</v>
      </c>
      <c r="K49" s="21" t="s">
        <v>1514</v>
      </c>
      <c r="L49" s="21" t="s">
        <v>1510</v>
      </c>
      <c r="M49" s="34" t="s">
        <v>1515</v>
      </c>
    </row>
    <row r="50">
      <c r="A50" s="21" t="s">
        <v>1516</v>
      </c>
      <c r="B50" s="21" t="s">
        <v>1517</v>
      </c>
      <c r="C50" s="21" t="str">
        <f t="array" ref="C50">xlookup(B50, sectors!A:A, sectors!A:A)</f>
        <v>Informa</v>
      </c>
      <c r="D50" s="21" t="str">
        <f t="shared" si="12"/>
        <v>INF</v>
      </c>
      <c r="E50" s="21" t="s">
        <v>1518</v>
      </c>
      <c r="F50" s="31" t="str">
        <f t="array" ref="F50">xlookup(A50, sectors!B:B, sectors!C:C)</f>
        <v>Retail &amp; Services</v>
      </c>
      <c r="G50" s="31" t="str">
        <f t="array" ref="G50">XLOOKUP(A50, sectors!B:B, sectors!E:E)</f>
        <v>Media</v>
      </c>
      <c r="H50" s="32" t="s">
        <v>1519</v>
      </c>
      <c r="I50" s="32" t="s">
        <v>1520</v>
      </c>
      <c r="J50" s="33" t="str">
        <f t="shared" si="11"/>
        <v>https://find-and-update.company-information.service.gov.uk/company/08860726</v>
      </c>
      <c r="K50" s="21" t="s">
        <v>1521</v>
      </c>
      <c r="L50" s="21"/>
      <c r="M50" s="34" t="s">
        <v>1522</v>
      </c>
    </row>
    <row r="51">
      <c r="A51" s="21" t="s">
        <v>1523</v>
      </c>
      <c r="B51" s="21" t="s">
        <v>1524</v>
      </c>
      <c r="C51" s="21" t="s">
        <v>1525</v>
      </c>
      <c r="D51" s="21" t="s">
        <v>1523</v>
      </c>
      <c r="E51" s="21" t="s">
        <v>1526</v>
      </c>
      <c r="F51" s="31" t="str">
        <f t="array" ref="F51">xlookup(A51, sectors!B:B, sectors!C:C)</f>
        <v>Retail &amp; Services</v>
      </c>
      <c r="G51" s="21" t="str">
        <f t="array" ref="G51">XLOOKUP(A51, sectors!B:B, sectors!E:E)</f>
        <v>Support Services</v>
      </c>
      <c r="H51" s="32" t="s">
        <v>1527</v>
      </c>
      <c r="I51" s="32" t="s">
        <v>1528</v>
      </c>
      <c r="J51" s="33" t="str">
        <f t="shared" si="11"/>
        <v>https://find-and-update.company-information.service.gov.uk/company/04267576</v>
      </c>
      <c r="K51" s="21" t="s">
        <v>1529</v>
      </c>
      <c r="L51" s="21"/>
      <c r="M51" s="34" t="s">
        <v>1530</v>
      </c>
    </row>
    <row r="52">
      <c r="A52" s="21" t="s">
        <v>1531</v>
      </c>
      <c r="B52" s="21" t="s">
        <v>1532</v>
      </c>
      <c r="C52" s="21" t="s">
        <v>1533</v>
      </c>
      <c r="D52" s="21" t="str">
        <f>left(E52, 3)</f>
        <v>JD.</v>
      </c>
      <c r="E52" s="21" t="s">
        <v>1534</v>
      </c>
      <c r="F52" s="31" t="str">
        <f t="array" ref="F52">xlookup(A52, sectors!B:B, sectors!C:C)</f>
        <v>Retail &amp; Services</v>
      </c>
      <c r="G52" s="21" t="str">
        <f t="array" ref="G52">XLOOKUP(A52, sectors!B:B, sectors!E:E)</f>
        <v>General Retailers</v>
      </c>
      <c r="H52" s="32" t="s">
        <v>1535</v>
      </c>
      <c r="I52" s="32" t="s">
        <v>1536</v>
      </c>
      <c r="J52" s="33" t="str">
        <f t="shared" si="11"/>
        <v>https://find-and-update.company-information.service.gov.uk/company/01888425</v>
      </c>
      <c r="K52" s="21" t="s">
        <v>1537</v>
      </c>
      <c r="L52" s="21" t="s">
        <v>1538</v>
      </c>
      <c r="M52" s="34" t="s">
        <v>1539</v>
      </c>
    </row>
    <row r="53">
      <c r="A53" s="21" t="s">
        <v>1540</v>
      </c>
      <c r="B53" s="21" t="s">
        <v>1541</v>
      </c>
      <c r="C53" s="21" t="str">
        <f t="array" ref="C53">xlookup(B53, sectors!A:A, sectors!A:A)</f>
        <v>Johnson Matthey</v>
      </c>
      <c r="D53" s="21" t="s">
        <v>1540</v>
      </c>
      <c r="E53" s="21" t="s">
        <v>1542</v>
      </c>
      <c r="F53" s="31" t="str">
        <f t="array" ref="F53">xlookup(A53, sectors!B:B, sectors!C:C)</f>
        <v>Engineering &amp; Construction</v>
      </c>
      <c r="G53" s="21" t="str">
        <f t="array" ref="G53">XLOOKUP(A53, sectors!B:B, sectors!E:E)</f>
        <v>Chemicals</v>
      </c>
      <c r="H53" s="35" t="s">
        <v>1543</v>
      </c>
      <c r="I53" s="32" t="s">
        <v>1544</v>
      </c>
      <c r="J53" s="33" t="str">
        <f t="shared" si="11"/>
        <v>https://find-and-update.company-information.service.gov.uk/company/00033774</v>
      </c>
      <c r="K53" s="21" t="s">
        <v>1545</v>
      </c>
      <c r="L53" s="21"/>
      <c r="M53" s="34" t="s">
        <v>1546</v>
      </c>
    </row>
    <row r="54">
      <c r="A54" s="21" t="s">
        <v>1547</v>
      </c>
      <c r="B54" s="21" t="s">
        <v>1548</v>
      </c>
      <c r="C54" s="21" t="s">
        <v>1549</v>
      </c>
      <c r="D54" s="21" t="str">
        <f>left(E54, 3)</f>
        <v>KGF</v>
      </c>
      <c r="E54" s="21" t="s">
        <v>1550</v>
      </c>
      <c r="F54" s="31" t="str">
        <f t="array" ref="F54">xlookup(A54, sectors!B:B, sectors!C:C)</f>
        <v>Retail &amp; Services</v>
      </c>
      <c r="G54" s="21" t="str">
        <f t="array" ref="G54">XLOOKUP(A54, sectors!B:B, sectors!E:E)</f>
        <v>Retailers</v>
      </c>
      <c r="H54" s="32" t="s">
        <v>1551</v>
      </c>
      <c r="I54" s="32" t="s">
        <v>1552</v>
      </c>
      <c r="J54" s="33" t="str">
        <f t="shared" si="11"/>
        <v>https://find-and-update.company-information.service.gov.uk/company/01664812</v>
      </c>
      <c r="K54" s="21" t="s">
        <v>1553</v>
      </c>
      <c r="L54" s="21"/>
      <c r="M54" s="34" t="s">
        <v>1554</v>
      </c>
    </row>
    <row r="55">
      <c r="A55" s="21" t="s">
        <v>1555</v>
      </c>
      <c r="B55" s="21" t="s">
        <v>1556</v>
      </c>
      <c r="C55" s="21" t="s">
        <v>1557</v>
      </c>
      <c r="D55" s="21" t="s">
        <v>1555</v>
      </c>
      <c r="E55" s="21" t="s">
        <v>1558</v>
      </c>
      <c r="F55" s="31" t="str">
        <f t="array" ref="F55">xlookup(A55, sectors!B:B, sectors!C:C)</f>
        <v>Real Estate</v>
      </c>
      <c r="G55" s="21" t="str">
        <f t="array" ref="G55">XLOOKUP(A55, sectors!B:B, sectors!E:E)</f>
        <v>Real Estate Investment Trusts</v>
      </c>
      <c r="H55" s="32" t="s">
        <v>1559</v>
      </c>
      <c r="I55" s="32" t="s">
        <v>1560</v>
      </c>
      <c r="J55" s="33" t="str">
        <f t="shared" si="11"/>
        <v>https://find-and-update.company-information.service.gov.uk/company/04369054</v>
      </c>
      <c r="K55" s="21" t="s">
        <v>1561</v>
      </c>
      <c r="L55" s="21"/>
      <c r="M55" s="34" t="s">
        <v>1562</v>
      </c>
    </row>
    <row r="56">
      <c r="A56" s="21" t="s">
        <v>1563</v>
      </c>
      <c r="B56" s="21" t="s">
        <v>1564</v>
      </c>
      <c r="C56" s="21" t="s">
        <v>1565</v>
      </c>
      <c r="D56" s="21" t="s">
        <v>1563</v>
      </c>
      <c r="E56" s="21" t="s">
        <v>1566</v>
      </c>
      <c r="F56" s="31" t="str">
        <f t="array" ref="F56">xlookup(A56, sectors!B:B, sectors!C:C)</f>
        <v>Financial Services</v>
      </c>
      <c r="G56" s="21" t="str">
        <f t="array" ref="G56">XLOOKUP(A56, sectors!B:B, sectors!E:E)</f>
        <v>Life Insurance</v>
      </c>
      <c r="H56" s="32" t="s">
        <v>1567</v>
      </c>
      <c r="I56" s="32" t="s">
        <v>1568</v>
      </c>
      <c r="J56" s="33" t="str">
        <f t="shared" si="11"/>
        <v>https://find-and-update.company-information.service.gov.uk/company/01417162</v>
      </c>
      <c r="K56" s="21" t="s">
        <v>1569</v>
      </c>
      <c r="L56" s="21"/>
      <c r="M56" s="34" t="s">
        <v>1570</v>
      </c>
    </row>
    <row r="57">
      <c r="A57" s="21" t="s">
        <v>1571</v>
      </c>
      <c r="B57" s="21" t="s">
        <v>1572</v>
      </c>
      <c r="C57" s="21" t="str">
        <f t="array" ref="C57">xlookup(B57, sectors!A:A, sectors!A:A)</f>
        <v>Lloyds Banking Group</v>
      </c>
      <c r="D57" s="21" t="s">
        <v>1571</v>
      </c>
      <c r="E57" s="21" t="s">
        <v>1573</v>
      </c>
      <c r="F57" s="31" t="str">
        <f t="array" ref="F57">xlookup(A57, sectors!B:B, sectors!C:C)</f>
        <v>Financial Services</v>
      </c>
      <c r="G57" s="21" t="str">
        <f t="array" ref="G57">XLOOKUP(A57, sectors!B:B, sectors!E:E)</f>
        <v>Banks</v>
      </c>
      <c r="H57" s="32" t="s">
        <v>1574</v>
      </c>
      <c r="I57" s="32" t="s">
        <v>1575</v>
      </c>
      <c r="J57" s="33" t="str">
        <f t="shared" si="11"/>
        <v>https://find-and-update.company-information.service.gov.uk/company/SC095000</v>
      </c>
      <c r="K57" s="21" t="s">
        <v>1576</v>
      </c>
      <c r="L57" s="21" t="s">
        <v>1572</v>
      </c>
      <c r="M57" s="34" t="s">
        <v>1577</v>
      </c>
    </row>
    <row r="58">
      <c r="A58" s="21" t="s">
        <v>1578</v>
      </c>
      <c r="B58" s="21" t="s">
        <v>1579</v>
      </c>
      <c r="C58" s="21" t="str">
        <f t="array" ref="C58">xlookup(B58, sectors!A:A, sectors!A:A)</f>
        <v>London Stock Exchange Group</v>
      </c>
      <c r="D58" s="21" t="s">
        <v>1578</v>
      </c>
      <c r="E58" s="21" t="s">
        <v>1580</v>
      </c>
      <c r="F58" s="31" t="str">
        <f t="array" ref="F58">xlookup(A58, sectors!B:B, sectors!C:C)</f>
        <v>Financial Services</v>
      </c>
      <c r="G58" s="31" t="str">
        <f t="array" ref="G58">XLOOKUP(A58, sectors!B:B, sectors!E:E)</f>
        <v>Financial Services</v>
      </c>
      <c r="H58" s="32" t="s">
        <v>1581</v>
      </c>
      <c r="I58" s="32" t="s">
        <v>1582</v>
      </c>
      <c r="J58" s="33" t="str">
        <f t="shared" si="11"/>
        <v>https://find-and-update.company-information.service.gov.uk/company/05369106</v>
      </c>
      <c r="K58" s="21" t="s">
        <v>1583</v>
      </c>
      <c r="L58" s="21"/>
      <c r="M58" s="34" t="s">
        <v>1584</v>
      </c>
    </row>
    <row r="59">
      <c r="A59" s="21" t="s">
        <v>1585</v>
      </c>
      <c r="B59" s="21" t="s">
        <v>1586</v>
      </c>
      <c r="C59" s="21" t="str">
        <f t="array" ref="C59">xlookup(B59, sectors!A:A, sectors!A:A)</f>
        <v>Mondi</v>
      </c>
      <c r="D59" s="21" t="s">
        <v>1585</v>
      </c>
      <c r="E59" s="21" t="s">
        <v>1587</v>
      </c>
      <c r="F59" s="31" t="str">
        <f t="array" ref="F59">xlookup(A59, sectors!B:B, sectors!C:C)</f>
        <v>Retail &amp; Services</v>
      </c>
      <c r="G59" s="21" t="str">
        <f t="array" ref="G59">XLOOKUP(A59, sectors!B:B, sectors!E:E)</f>
        <v>Forestry &amp; Paper</v>
      </c>
      <c r="H59" s="32" t="s">
        <v>1588</v>
      </c>
      <c r="I59" s="32" t="s">
        <v>1589</v>
      </c>
      <c r="J59" s="33" t="str">
        <f t="shared" si="11"/>
        <v>https://find-and-update.company-information.service.gov.uk/company/06209386</v>
      </c>
      <c r="K59" s="21" t="s">
        <v>1590</v>
      </c>
      <c r="L59" s="21"/>
      <c r="M59" s="34" t="s">
        <v>1591</v>
      </c>
    </row>
    <row r="60">
      <c r="A60" s="21" t="s">
        <v>1592</v>
      </c>
      <c r="B60" s="21" t="s">
        <v>1593</v>
      </c>
      <c r="C60" s="21" t="str">
        <f t="array" ref="C60">xlookup(B60, sectors!A:A, sectors!A:A)</f>
        <v>M&amp;G</v>
      </c>
      <c r="D60" s="21" t="str">
        <f t="shared" ref="D60:D63" si="13">left(E60, 3)</f>
        <v>MNG</v>
      </c>
      <c r="E60" s="21" t="s">
        <v>1594</v>
      </c>
      <c r="F60" s="31" t="str">
        <f t="array" ref="F60">xlookup(A60, sectors!B:B, sectors!C:C)</f>
        <v>Financial Services</v>
      </c>
      <c r="G60" s="21" t="str">
        <f t="array" ref="G60">XLOOKUP(A60, sectors!B:B, sectors!E:E)</f>
        <v>Asset Managers</v>
      </c>
      <c r="H60" s="32" t="s">
        <v>1595</v>
      </c>
      <c r="I60" s="32" t="s">
        <v>1596</v>
      </c>
      <c r="J60" s="33" t="str">
        <f t="shared" si="11"/>
        <v>https://find-and-update.company-information.service.gov.uk/company/11444019</v>
      </c>
      <c r="K60" s="21" t="s">
        <v>1597</v>
      </c>
      <c r="L60" s="21"/>
      <c r="M60" s="34" t="s">
        <v>1598</v>
      </c>
    </row>
    <row r="61">
      <c r="A61" s="21" t="s">
        <v>1599</v>
      </c>
      <c r="B61" s="21" t="s">
        <v>1600</v>
      </c>
      <c r="C61" s="21" t="str">
        <f t="array" ref="C61">xlookup(B61, sectors!A:A, sectors!A:A)</f>
        <v>Melrose Industries</v>
      </c>
      <c r="D61" s="21" t="str">
        <f t="shared" si="13"/>
        <v>MRO</v>
      </c>
      <c r="E61" s="21" t="s">
        <v>1601</v>
      </c>
      <c r="F61" s="31" t="str">
        <f t="array" ref="F61">xlookup(A61, sectors!B:B, sectors!C:C)</f>
        <v>Engineering &amp; Construction</v>
      </c>
      <c r="G61" s="21" t="str">
        <f t="array" ref="G61">XLOOKUP(A61, sectors!B:B, sectors!E:E)</f>
        <v>Automobiles &amp; Parts</v>
      </c>
      <c r="H61" s="32" t="s">
        <v>1602</v>
      </c>
      <c r="I61" s="32" t="s">
        <v>1603</v>
      </c>
      <c r="J61" s="33" t="str">
        <f t="shared" si="11"/>
        <v>https://find-and-update.company-information.service.gov.uk/company/09800044</v>
      </c>
      <c r="K61" s="21" t="s">
        <v>1604</v>
      </c>
      <c r="L61" s="21" t="s">
        <v>1600</v>
      </c>
      <c r="M61" s="34" t="s">
        <v>1605</v>
      </c>
    </row>
    <row r="62">
      <c r="A62" s="21" t="s">
        <v>1606</v>
      </c>
      <c r="B62" s="21" t="s">
        <v>1607</v>
      </c>
      <c r="C62" s="21" t="s">
        <v>1608</v>
      </c>
      <c r="D62" s="21" t="str">
        <f t="shared" si="13"/>
        <v>NG.</v>
      </c>
      <c r="E62" s="21" t="s">
        <v>1609</v>
      </c>
      <c r="F62" s="31" t="str">
        <f t="array" ref="F62">xlookup(A62, sectors!B:B, sectors!C:C)</f>
        <v>Utilities</v>
      </c>
      <c r="G62" s="21" t="str">
        <f t="array" ref="G62">XLOOKUP(A62, sectors!B:B, sectors!E:E)</f>
        <v>Gas, Water &amp; Multi-utilities</v>
      </c>
      <c r="H62" s="32" t="s">
        <v>1610</v>
      </c>
      <c r="I62" s="32" t="s">
        <v>1611</v>
      </c>
      <c r="J62" s="33" t="str">
        <f t="shared" si="11"/>
        <v>https://find-and-update.company-information.service.gov.uk/company/04031152</v>
      </c>
      <c r="K62" s="21" t="s">
        <v>1612</v>
      </c>
      <c r="L62" s="21" t="s">
        <v>1607</v>
      </c>
      <c r="M62" s="34" t="s">
        <v>1613</v>
      </c>
    </row>
    <row r="63">
      <c r="A63" s="21" t="s">
        <v>1614</v>
      </c>
      <c r="B63" s="21" t="s">
        <v>1615</v>
      </c>
      <c r="C63" s="21" t="s">
        <v>1616</v>
      </c>
      <c r="D63" s="21" t="str">
        <f t="shared" si="13"/>
        <v>NXT</v>
      </c>
      <c r="E63" s="21" t="s">
        <v>1617</v>
      </c>
      <c r="F63" s="31" t="str">
        <f t="array" ref="F63">xlookup(A63, sectors!B:B, sectors!C:C)</f>
        <v>Retail &amp; Services</v>
      </c>
      <c r="G63" s="21" t="str">
        <f t="array" ref="G63">XLOOKUP(A63, sectors!B:B, sectors!E:E)</f>
        <v>General Retailers</v>
      </c>
      <c r="H63" s="32" t="s">
        <v>1618</v>
      </c>
      <c r="I63" s="32" t="s">
        <v>1619</v>
      </c>
      <c r="J63" s="33" t="str">
        <f t="shared" si="11"/>
        <v>https://find-and-update.company-information.service.gov.uk/company/04412362</v>
      </c>
      <c r="K63" s="21" t="s">
        <v>1620</v>
      </c>
      <c r="L63" s="21"/>
      <c r="M63" s="34" t="s">
        <v>1621</v>
      </c>
    </row>
    <row r="64">
      <c r="A64" s="21" t="s">
        <v>1622</v>
      </c>
      <c r="B64" s="21" t="s">
        <v>1623</v>
      </c>
      <c r="C64" s="21" t="str">
        <f t="array" ref="C64">xlookup(B64, sectors!A:A, sectors!A:A)</f>
        <v>Ocado Group</v>
      </c>
      <c r="D64" s="21" t="s">
        <v>1622</v>
      </c>
      <c r="E64" s="21" t="s">
        <v>1624</v>
      </c>
      <c r="F64" s="31" t="str">
        <f t="array" ref="F64">xlookup(A64, sectors!B:B, sectors!C:C)</f>
        <v>Food &amp; Beverage</v>
      </c>
      <c r="G64" s="21" t="str">
        <f t="array" ref="G64">XLOOKUP(A64, sectors!B:B, sectors!E:E)</f>
        <v>Food &amp; Drug Retailers</v>
      </c>
      <c r="H64" s="32" t="s">
        <v>1625</v>
      </c>
      <c r="I64" s="32" t="s">
        <v>1626</v>
      </c>
      <c r="J64" s="33" t="str">
        <f t="shared" si="11"/>
        <v>https://find-and-update.company-information.service.gov.uk/company/07098618</v>
      </c>
      <c r="K64" s="21" t="s">
        <v>1627</v>
      </c>
      <c r="L64" s="21"/>
      <c r="M64" s="34" t="s">
        <v>1628</v>
      </c>
    </row>
    <row r="65">
      <c r="A65" s="21" t="s">
        <v>1629</v>
      </c>
      <c r="B65" s="21" t="s">
        <v>1630</v>
      </c>
      <c r="C65" s="21" t="s">
        <v>1631</v>
      </c>
      <c r="D65" s="21" t="s">
        <v>1629</v>
      </c>
      <c r="E65" s="21" t="s">
        <v>1632</v>
      </c>
      <c r="F65" s="31" t="str">
        <f t="array" ref="F65">xlookup(A65, sectors!B:B, sectors!C:C)</f>
        <v>Financial Services</v>
      </c>
      <c r="G65" s="21" t="str">
        <f t="array" ref="G65">XLOOKUP(A65, sectors!B:B, sectors!E:E)</f>
        <v>Life Insurance</v>
      </c>
      <c r="H65" s="32" t="s">
        <v>1633</v>
      </c>
      <c r="I65" s="32" t="s">
        <v>1634</v>
      </c>
      <c r="J65" s="33" t="str">
        <f t="shared" si="11"/>
        <v>https://find-and-update.company-information.service.gov.uk/company/11606773</v>
      </c>
      <c r="K65" s="21" t="s">
        <v>1635</v>
      </c>
      <c r="L65" s="21"/>
      <c r="M65" s="34" t="s">
        <v>1636</v>
      </c>
    </row>
    <row r="66">
      <c r="A66" s="21" t="s">
        <v>1637</v>
      </c>
      <c r="B66" s="21" t="s">
        <v>1638</v>
      </c>
      <c r="C66" s="21" t="s">
        <v>1639</v>
      </c>
      <c r="D66" s="21" t="str">
        <f t="shared" ref="D66:D68" si="14">left(E66, 3)</f>
        <v>PRU</v>
      </c>
      <c r="E66" s="21" t="s">
        <v>1640</v>
      </c>
      <c r="F66" s="31" t="str">
        <f t="array" ref="F66">xlookup(A66, sectors!B:B, sectors!C:C)</f>
        <v>Financial Services</v>
      </c>
      <c r="G66" s="21" t="str">
        <f t="array" ref="G66">XLOOKUP(A66, sectors!B:B, sectors!E:E)</f>
        <v>Life Insurance</v>
      </c>
      <c r="H66" s="32" t="s">
        <v>1641</v>
      </c>
      <c r="I66" s="32" t="s">
        <v>1642</v>
      </c>
      <c r="J66" s="33" t="str">
        <f t="shared" si="11"/>
        <v>https://find-and-update.company-information.service.gov.uk/company/01397169</v>
      </c>
      <c r="K66" s="21" t="s">
        <v>1643</v>
      </c>
      <c r="L66" s="21" t="s">
        <v>1644</v>
      </c>
      <c r="M66" s="34" t="s">
        <v>1645</v>
      </c>
    </row>
    <row r="67">
      <c r="A67" s="21" t="s">
        <v>1646</v>
      </c>
      <c r="B67" s="21" t="s">
        <v>1647</v>
      </c>
      <c r="C67" s="21" t="s">
        <v>1648</v>
      </c>
      <c r="D67" s="21" t="str">
        <f t="shared" si="14"/>
        <v>PSH</v>
      </c>
      <c r="E67" s="21" t="s">
        <v>1649</v>
      </c>
      <c r="F67" s="31" t="str">
        <f t="array" ref="F67">xlookup(A67, sectors!B:B, sectors!C:C)</f>
        <v>Financial Services</v>
      </c>
      <c r="G67" s="21" t="str">
        <f t="array" ref="G67">XLOOKUP(A67, sectors!B:B, sectors!E:E)</f>
        <v>Financial Services</v>
      </c>
      <c r="H67" s="32" t="s">
        <v>1650</v>
      </c>
      <c r="I67" s="32" t="s">
        <v>1332</v>
      </c>
      <c r="J67" s="32"/>
      <c r="K67" s="21" t="s">
        <v>1651</v>
      </c>
      <c r="M67" s="36"/>
    </row>
    <row r="68">
      <c r="A68" s="21" t="s">
        <v>1652</v>
      </c>
      <c r="B68" s="21" t="s">
        <v>1653</v>
      </c>
      <c r="C68" s="21" t="s">
        <v>1654</v>
      </c>
      <c r="D68" s="21" t="str">
        <f t="shared" si="14"/>
        <v>PSN</v>
      </c>
      <c r="E68" s="21" t="s">
        <v>1655</v>
      </c>
      <c r="F68" s="31" t="str">
        <f t="array" ref="F68">xlookup(A68, sectors!B:B, sectors!C:C)</f>
        <v>Engineering &amp; Construction</v>
      </c>
      <c r="G68" s="21" t="str">
        <f t="array" ref="G68">XLOOKUP(A68, sectors!B:B, sectors!E:E)</f>
        <v>Household Goods &amp; Home Construction</v>
      </c>
      <c r="H68" s="32" t="s">
        <v>1656</v>
      </c>
      <c r="I68" s="32" t="s">
        <v>1657</v>
      </c>
      <c r="J68" s="33" t="str">
        <f t="shared" ref="J68:J82" si="15">"https://find-and-update.company-information.service.gov.uk/company/"&amp;$I68</f>
        <v>https://find-and-update.company-information.service.gov.uk/company/01818486</v>
      </c>
      <c r="K68" s="21" t="s">
        <v>1658</v>
      </c>
      <c r="L68" s="21"/>
      <c r="M68" s="34" t="s">
        <v>1659</v>
      </c>
    </row>
    <row r="69">
      <c r="A69" s="21" t="s">
        <v>1660</v>
      </c>
      <c r="B69" s="21" t="s">
        <v>1661</v>
      </c>
      <c r="C69" s="21" t="s">
        <v>1662</v>
      </c>
      <c r="D69" s="21" t="s">
        <v>1660</v>
      </c>
      <c r="E69" s="21" t="s">
        <v>1663</v>
      </c>
      <c r="F69" s="31" t="str">
        <f t="array" ref="F69">xlookup(A69, sectors!B:B, sectors!C:C)</f>
        <v>Retail &amp; Services</v>
      </c>
      <c r="G69" s="21" t="str">
        <f t="array" ref="G69">XLOOKUP(A69, sectors!B:B, sectors!E:E)</f>
        <v>Media</v>
      </c>
      <c r="H69" s="32" t="s">
        <v>1664</v>
      </c>
      <c r="I69" s="32" t="s">
        <v>1665</v>
      </c>
      <c r="J69" s="33" t="str">
        <f t="shared" si="15"/>
        <v>https://find-and-update.company-information.service.gov.uk/company/00053723</v>
      </c>
      <c r="K69" s="21" t="s">
        <v>1666</v>
      </c>
      <c r="L69" s="21" t="s">
        <v>1661</v>
      </c>
      <c r="M69" s="34" t="s">
        <v>1667</v>
      </c>
    </row>
    <row r="70">
      <c r="A70" s="21" t="s">
        <v>1668</v>
      </c>
      <c r="B70" s="21" t="s">
        <v>1669</v>
      </c>
      <c r="C70" s="21" t="s">
        <v>1670</v>
      </c>
      <c r="D70" s="21" t="str">
        <f t="shared" ref="D70:D71" si="16">left(E70, 3)</f>
        <v>RKT</v>
      </c>
      <c r="E70" s="21" t="s">
        <v>1671</v>
      </c>
      <c r="F70" s="37" t="s">
        <v>1672</v>
      </c>
      <c r="G70" s="37" t="s">
        <v>1673</v>
      </c>
      <c r="H70" s="32" t="s">
        <v>1674</v>
      </c>
      <c r="I70" s="32" t="s">
        <v>1675</v>
      </c>
      <c r="J70" s="33" t="str">
        <f t="shared" si="15"/>
        <v>https://find-and-update.company-information.service.gov.uk/company/06270876</v>
      </c>
      <c r="K70" s="21" t="s">
        <v>1676</v>
      </c>
      <c r="L70" s="21" t="s">
        <v>1677</v>
      </c>
      <c r="M70" s="34" t="s">
        <v>1678</v>
      </c>
    </row>
    <row r="71">
      <c r="A71" s="21" t="s">
        <v>1679</v>
      </c>
      <c r="B71" s="21" t="s">
        <v>1680</v>
      </c>
      <c r="C71" s="21" t="str">
        <f t="array" ref="C71">xlookup(B71, sectors!A:A, sectors!A:A)</f>
        <v>NatWest Group</v>
      </c>
      <c r="D71" s="21" t="str">
        <f t="shared" si="16"/>
        <v>NWG</v>
      </c>
      <c r="E71" s="21" t="s">
        <v>1681</v>
      </c>
      <c r="F71" s="31" t="str">
        <f t="array" ref="F71">xlookup(A71, sectors!B:B, sectors!C:C)</f>
        <v>Financial Services</v>
      </c>
      <c r="G71" s="21" t="str">
        <f t="array" ref="G71">XLOOKUP(A71, sectors!B:B, sectors!E:E)</f>
        <v>Banks</v>
      </c>
      <c r="H71" s="32" t="s">
        <v>1682</v>
      </c>
      <c r="I71" s="32" t="s">
        <v>1683</v>
      </c>
      <c r="J71" s="33" t="str">
        <f t="shared" si="15"/>
        <v>https://find-and-update.company-information.service.gov.uk/company/SC045551</v>
      </c>
      <c r="K71" s="21" t="s">
        <v>1684</v>
      </c>
      <c r="L71" s="21" t="s">
        <v>1685</v>
      </c>
      <c r="M71" s="34" t="s">
        <v>1686</v>
      </c>
    </row>
    <row r="72">
      <c r="A72" s="21" t="s">
        <v>1687</v>
      </c>
      <c r="B72" s="21" t="s">
        <v>1688</v>
      </c>
      <c r="C72" s="21" t="s">
        <v>1689</v>
      </c>
      <c r="D72" s="21" t="s">
        <v>1690</v>
      </c>
      <c r="E72" s="21" t="s">
        <v>1691</v>
      </c>
      <c r="F72" s="37" t="s">
        <v>1692</v>
      </c>
      <c r="G72" s="21" t="s">
        <v>1693</v>
      </c>
      <c r="H72" s="32" t="s">
        <v>1694</v>
      </c>
      <c r="I72" s="32" t="s">
        <v>1695</v>
      </c>
      <c r="J72" s="33" t="str">
        <f t="shared" si="15"/>
        <v>https://find-and-update.company-information.service.gov.uk/company/04366849</v>
      </c>
      <c r="K72" s="21" t="s">
        <v>1696</v>
      </c>
      <c r="L72" s="21" t="s">
        <v>1697</v>
      </c>
      <c r="M72" s="34" t="s">
        <v>1698</v>
      </c>
    </row>
    <row r="73">
      <c r="A73" s="21" t="s">
        <v>1699</v>
      </c>
      <c r="B73" s="21" t="s">
        <v>1700</v>
      </c>
      <c r="C73" s="21" t="str">
        <f t="array" ref="C73">xlookup(B73, sectors!A:A, sectors!A:A)</f>
        <v>RELX</v>
      </c>
      <c r="D73" s="21" t="str">
        <f t="shared" ref="D73:D78" si="17">left(E73, 3)</f>
        <v>REL</v>
      </c>
      <c r="E73" s="21" t="s">
        <v>1701</v>
      </c>
      <c r="F73" s="31" t="str">
        <f t="array" ref="F73">xlookup(A73, sectors!B:B, sectors!C:C)</f>
        <v>Retail &amp; Services</v>
      </c>
      <c r="G73" s="31" t="str">
        <f t="array" ref="G73">XLOOKUP(A73, sectors!B:B, sectors!E:E)</f>
        <v>Media</v>
      </c>
      <c r="H73" s="32" t="s">
        <v>1702</v>
      </c>
      <c r="I73" s="32" t="s">
        <v>1703</v>
      </c>
      <c r="J73" s="33" t="str">
        <f t="shared" si="15"/>
        <v>https://find-and-update.company-information.service.gov.uk/company/00077536</v>
      </c>
      <c r="K73" s="21" t="s">
        <v>1704</v>
      </c>
      <c r="L73" s="21" t="s">
        <v>1705</v>
      </c>
      <c r="M73" s="34" t="s">
        <v>1706</v>
      </c>
    </row>
    <row r="74">
      <c r="A74" s="21" t="s">
        <v>1707</v>
      </c>
      <c r="B74" s="21" t="s">
        <v>1708</v>
      </c>
      <c r="C74" s="21" t="str">
        <f t="array" ref="C74">xlookup(B74, sectors!A:A, sectors!A:A)</f>
        <v>Rio Tinto</v>
      </c>
      <c r="D74" s="21" t="str">
        <f t="shared" si="17"/>
        <v>RIO</v>
      </c>
      <c r="E74" s="21" t="s">
        <v>1709</v>
      </c>
      <c r="F74" s="31" t="str">
        <f t="array" ref="F74">xlookup(A74, sectors!B:B, sectors!C:C)</f>
        <v>Mining &amp; Extraction</v>
      </c>
      <c r="G74" s="21" t="str">
        <f t="array" ref="G74">XLOOKUP(A74, sectors!B:B, sectors!E:E)</f>
        <v>Mining</v>
      </c>
      <c r="H74" s="32" t="s">
        <v>1710</v>
      </c>
      <c r="I74" s="32" t="s">
        <v>1711</v>
      </c>
      <c r="J74" s="33" t="str">
        <f t="shared" si="15"/>
        <v>https://find-and-update.company-information.service.gov.uk/company/00719885</v>
      </c>
      <c r="K74" s="21" t="s">
        <v>1712</v>
      </c>
      <c r="L74" s="21" t="s">
        <v>1708</v>
      </c>
      <c r="M74" s="34" t="s">
        <v>1713</v>
      </c>
    </row>
    <row r="75">
      <c r="A75" s="21" t="s">
        <v>1714</v>
      </c>
      <c r="B75" s="21" t="s">
        <v>1715</v>
      </c>
      <c r="C75" s="21" t="str">
        <f t="array" ref="C75">xlookup(B75, sectors!A:A, sectors!A:A)</f>
        <v>Rightmove</v>
      </c>
      <c r="D75" s="21" t="str">
        <f t="shared" si="17"/>
        <v>RMV</v>
      </c>
      <c r="E75" s="21" t="s">
        <v>1716</v>
      </c>
      <c r="F75" s="31" t="str">
        <f t="array" ref="F75">xlookup(A75, sectors!B:B, sectors!C:C)</f>
        <v>Retail &amp; Services</v>
      </c>
      <c r="G75" s="21" t="str">
        <f t="array" ref="G75">XLOOKUP(A75, sectors!B:B, sectors!E:E)</f>
        <v>Media</v>
      </c>
      <c r="H75" s="32" t="s">
        <v>1717</v>
      </c>
      <c r="I75" s="32" t="s">
        <v>1718</v>
      </c>
      <c r="J75" s="33" t="str">
        <f t="shared" si="15"/>
        <v>https://find-and-update.company-information.service.gov.uk/company/06426485</v>
      </c>
      <c r="K75" s="21" t="s">
        <v>1719</v>
      </c>
      <c r="L75" s="21"/>
      <c r="M75" s="34" t="s">
        <v>1720</v>
      </c>
    </row>
    <row r="76">
      <c r="A76" s="21" t="s">
        <v>1721</v>
      </c>
      <c r="B76" s="21" t="s">
        <v>1722</v>
      </c>
      <c r="C76" s="21" t="str">
        <f t="array" ref="C76">xlookup(B76, sectors!A:A, sectors!A:A)</f>
        <v>Rolls-Royce Holdings</v>
      </c>
      <c r="D76" s="21" t="str">
        <f t="shared" si="17"/>
        <v>RR.</v>
      </c>
      <c r="E76" s="21" t="s">
        <v>1723</v>
      </c>
      <c r="F76" s="31" t="str">
        <f t="array" ref="F76">xlookup(A76, sectors!B:B, sectors!C:C)</f>
        <v>Engineering &amp; Construction</v>
      </c>
      <c r="G76" s="21" t="str">
        <f t="array" ref="G76">XLOOKUP(A76, sectors!B:B, sectors!E:E)</f>
        <v>Aerospace &amp; Defence</v>
      </c>
      <c r="H76" s="32" t="s">
        <v>1724</v>
      </c>
      <c r="I76" s="32" t="s">
        <v>1725</v>
      </c>
      <c r="J76" s="33" t="str">
        <f t="shared" si="15"/>
        <v>https://find-and-update.company-information.service.gov.uk/company/07524813</v>
      </c>
      <c r="K76" s="21" t="s">
        <v>1726</v>
      </c>
      <c r="L76" s="21" t="s">
        <v>1727</v>
      </c>
      <c r="M76" s="34" t="s">
        <v>1728</v>
      </c>
    </row>
    <row r="77">
      <c r="A77" s="21" t="s">
        <v>1729</v>
      </c>
      <c r="B77" s="21" t="s">
        <v>1730</v>
      </c>
      <c r="C77" s="21" t="s">
        <v>1731</v>
      </c>
      <c r="D77" s="21" t="str">
        <f t="shared" si="17"/>
        <v>RS1</v>
      </c>
      <c r="E77" s="21" t="s">
        <v>1732</v>
      </c>
      <c r="F77" s="31" t="str">
        <f t="array" ref="F77">xlookup(A77, sectors!B:B, sectors!C:C)</f>
        <v>Engineering &amp; Construction</v>
      </c>
      <c r="G77" s="21" t="str">
        <f t="array" ref="G77">XLOOKUP(A77, sectors!B:B, sectors!E:E)</f>
        <v>Industrials</v>
      </c>
      <c r="H77" s="32" t="s">
        <v>1733</v>
      </c>
      <c r="I77" s="32" t="s">
        <v>1734</v>
      </c>
      <c r="J77" s="33" t="str">
        <f t="shared" si="15"/>
        <v>https://find-and-update.company-information.service.gov.uk/company/00647788</v>
      </c>
      <c r="K77" s="21" t="s">
        <v>1735</v>
      </c>
      <c r="L77" s="21"/>
      <c r="M77" s="34" t="s">
        <v>1736</v>
      </c>
    </row>
    <row r="78">
      <c r="A78" s="21" t="s">
        <v>1737</v>
      </c>
      <c r="B78" s="21" t="s">
        <v>1738</v>
      </c>
      <c r="C78" s="21" t="str">
        <f t="array" ref="C78">xlookup(B78, sectors!A:A, sectors!A:A)</f>
        <v>Rentokil Initial</v>
      </c>
      <c r="D78" s="21" t="str">
        <f t="shared" si="17"/>
        <v>RTO</v>
      </c>
      <c r="E78" s="21" t="s">
        <v>1739</v>
      </c>
      <c r="F78" s="31" t="str">
        <f t="array" ref="F78">xlookup(A78, sectors!B:B, sectors!C:C)</f>
        <v>Retail &amp; Services</v>
      </c>
      <c r="G78" s="21" t="str">
        <f t="array" ref="G78">XLOOKUP(A78, sectors!B:B, sectors!E:E)</f>
        <v>Support Services</v>
      </c>
      <c r="H78" s="32" t="s">
        <v>1740</v>
      </c>
      <c r="I78" s="32" t="s">
        <v>1741</v>
      </c>
      <c r="J78" s="33" t="str">
        <f t="shared" si="15"/>
        <v>https://find-and-update.company-information.service.gov.uk/company/05393279</v>
      </c>
      <c r="K78" s="21" t="s">
        <v>1742</v>
      </c>
      <c r="L78" s="21"/>
      <c r="M78" s="34" t="s">
        <v>1743</v>
      </c>
    </row>
    <row r="79">
      <c r="A79" s="21" t="s">
        <v>1744</v>
      </c>
      <c r="B79" s="21" t="s">
        <v>1745</v>
      </c>
      <c r="C79" s="21" t="s">
        <v>1746</v>
      </c>
      <c r="D79" s="21" t="s">
        <v>1744</v>
      </c>
      <c r="E79" s="21" t="s">
        <v>1747</v>
      </c>
      <c r="F79" s="31" t="str">
        <f t="array" ref="F79">xlookup(A79, sectors!B:B, sectors!C:C)</f>
        <v>Food &amp; Beverage</v>
      </c>
      <c r="G79" s="21" t="str">
        <f t="array" ref="G79">XLOOKUP(A79, sectors!B:B, sectors!E:E)</f>
        <v>Food &amp; Drug Retailers</v>
      </c>
      <c r="H79" s="32" t="s">
        <v>1748</v>
      </c>
      <c r="I79" s="32" t="s">
        <v>1749</v>
      </c>
      <c r="J79" s="33" t="str">
        <f t="shared" si="15"/>
        <v>https://find-and-update.company-information.service.gov.uk/company/00185647</v>
      </c>
      <c r="K79" s="21" t="s">
        <v>1750</v>
      </c>
      <c r="L79" s="21"/>
      <c r="M79" s="34" t="s">
        <v>1751</v>
      </c>
    </row>
    <row r="80">
      <c r="A80" s="21" t="s">
        <v>1752</v>
      </c>
      <c r="B80" s="21" t="s">
        <v>1753</v>
      </c>
      <c r="C80" s="21" t="str">
        <f t="array" ref="C80">xlookup(B80, sectors!A:A, sectors!A:A)</f>
        <v>Schroders</v>
      </c>
      <c r="D80" s="21" t="str">
        <f t="shared" ref="D80:D81" si="18">left(E80, 3)</f>
        <v>SDR</v>
      </c>
      <c r="E80" s="21" t="s">
        <v>1754</v>
      </c>
      <c r="F80" s="31" t="str">
        <f t="array" ref="F80">xlookup(A80, sectors!B:B, sectors!C:C)</f>
        <v>Financial Services</v>
      </c>
      <c r="G80" s="21" t="str">
        <f t="array" ref="G80">XLOOKUP(A80, sectors!B:B, sectors!E:E)</f>
        <v>Financial Services</v>
      </c>
      <c r="H80" s="32" t="s">
        <v>1755</v>
      </c>
      <c r="I80" s="32" t="s">
        <v>1756</v>
      </c>
      <c r="J80" s="33" t="str">
        <f t="shared" si="15"/>
        <v>https://find-and-update.company-information.service.gov.uk/company/03909886</v>
      </c>
      <c r="K80" s="21" t="s">
        <v>1757</v>
      </c>
      <c r="L80" s="21"/>
      <c r="M80" s="34" t="s">
        <v>1758</v>
      </c>
    </row>
    <row r="81">
      <c r="A81" s="21" t="s">
        <v>1759</v>
      </c>
      <c r="B81" s="21" t="s">
        <v>1760</v>
      </c>
      <c r="C81" s="21" t="str">
        <f t="array" ref="C81">xlookup(B81, sectors!A:A, sectors!A:A)</f>
        <v>Sage Group</v>
      </c>
      <c r="D81" s="21" t="str">
        <f t="shared" si="18"/>
        <v>SGE</v>
      </c>
      <c r="E81" s="21" t="s">
        <v>1761</v>
      </c>
      <c r="F81" s="31" t="str">
        <f t="array" ref="F81">xlookup(A81, sectors!B:B, sectors!C:C)</f>
        <v>Retail &amp; Services</v>
      </c>
      <c r="G81" s="21" t="str">
        <f t="array" ref="G81">XLOOKUP(A81, sectors!B:B, sectors!E:E)</f>
        <v>Software &amp; Computer Services</v>
      </c>
      <c r="H81" s="32" t="s">
        <v>1762</v>
      </c>
      <c r="I81" s="32" t="s">
        <v>1763</v>
      </c>
      <c r="J81" s="33" t="str">
        <f t="shared" si="15"/>
        <v>https://find-and-update.company-information.service.gov.uk/company/02231246</v>
      </c>
      <c r="K81" s="21" t="s">
        <v>1764</v>
      </c>
      <c r="L81" s="21"/>
      <c r="M81" s="34" t="s">
        <v>1765</v>
      </c>
    </row>
    <row r="82">
      <c r="A82" s="21" t="s">
        <v>1766</v>
      </c>
      <c r="B82" s="21" t="s">
        <v>1767</v>
      </c>
      <c r="C82" s="21" t="str">
        <f t="array" ref="C82">xlookup(B82, sectors!A:A, sectors!A:A)</f>
        <v>Segro</v>
      </c>
      <c r="D82" s="21" t="s">
        <v>1766</v>
      </c>
      <c r="E82" s="21" t="s">
        <v>1768</v>
      </c>
      <c r="F82" s="31" t="str">
        <f t="array" ref="F82">xlookup(A82, sectors!B:B, sectors!C:C)</f>
        <v>Real Estate</v>
      </c>
      <c r="G82" s="21" t="str">
        <f t="array" ref="G82">XLOOKUP(A82, sectors!B:B, sectors!E:E)</f>
        <v>Real Estate Investment Trusts</v>
      </c>
      <c r="H82" s="32" t="s">
        <v>1769</v>
      </c>
      <c r="I82" s="32" t="s">
        <v>1770</v>
      </c>
      <c r="J82" s="33" t="str">
        <f t="shared" si="15"/>
        <v>https://find-and-update.company-information.service.gov.uk/company/00167591</v>
      </c>
      <c r="K82" s="21" t="s">
        <v>1771</v>
      </c>
      <c r="L82" s="21"/>
      <c r="M82" s="34" t="s">
        <v>1772</v>
      </c>
    </row>
    <row r="83">
      <c r="A83" s="21" t="s">
        <v>1773</v>
      </c>
      <c r="B83" s="21" t="s">
        <v>1774</v>
      </c>
      <c r="C83" s="21" t="s">
        <v>1775</v>
      </c>
      <c r="D83" s="21" t="str">
        <f>left(E83, 3)</f>
        <v>SKG</v>
      </c>
      <c r="E83" s="21" t="s">
        <v>1776</v>
      </c>
      <c r="F83" s="31" t="str">
        <f t="array" ref="F83">xlookup(A83, sectors!B:B, sectors!C:C)</f>
        <v>Retail &amp; Services</v>
      </c>
      <c r="G83" s="21" t="str">
        <f t="array" ref="G83">XLOOKUP(A83, sectors!B:B, sectors!E:E)</f>
        <v>General Industrials</v>
      </c>
      <c r="H83" s="32" t="s">
        <v>1777</v>
      </c>
      <c r="I83" s="32" t="s">
        <v>1332</v>
      </c>
      <c r="J83" s="32"/>
      <c r="K83" s="21" t="s">
        <v>1778</v>
      </c>
      <c r="L83" s="21" t="s">
        <v>1774</v>
      </c>
      <c r="M83" s="34" t="s">
        <v>1779</v>
      </c>
    </row>
    <row r="84">
      <c r="A84" s="21" t="s">
        <v>1780</v>
      </c>
      <c r="B84" s="21" t="s">
        <v>1781</v>
      </c>
      <c r="C84" s="21" t="s">
        <v>1782</v>
      </c>
      <c r="D84" s="21" t="s">
        <v>1780</v>
      </c>
      <c r="E84" s="21" t="s">
        <v>1783</v>
      </c>
      <c r="F84" s="31" t="str">
        <f t="array" ref="F84">xlookup(A84, sectors!B:B, sectors!C:C)</f>
        <v>Retail &amp; Services</v>
      </c>
      <c r="G84" s="21" t="str">
        <f t="array" ref="G84">XLOOKUP(A84, sectors!B:B, sectors!E:E)</f>
        <v>General Industrials</v>
      </c>
      <c r="H84" s="32" t="s">
        <v>1784</v>
      </c>
      <c r="I84" s="32" t="s">
        <v>1785</v>
      </c>
      <c r="J84" s="33" t="str">
        <f t="shared" ref="J84:J99" si="19">"https://find-and-update.company-information.service.gov.uk/company/"&amp;$I84</f>
        <v>https://find-and-update.company-information.service.gov.uk/company/01377658</v>
      </c>
      <c r="K84" s="21" t="s">
        <v>1786</v>
      </c>
      <c r="L84" s="21"/>
      <c r="M84" s="34" t="s">
        <v>1787</v>
      </c>
    </row>
    <row r="85">
      <c r="A85" s="21" t="s">
        <v>1788</v>
      </c>
      <c r="B85" s="21" t="s">
        <v>1789</v>
      </c>
      <c r="C85" s="21" t="str">
        <f t="array" ref="C85">xlookup(B85, sectors!A:A, sectors!A:A)</f>
        <v>Smiths Group</v>
      </c>
      <c r="D85" s="21" t="s">
        <v>1788</v>
      </c>
      <c r="E85" s="21" t="s">
        <v>1790</v>
      </c>
      <c r="F85" s="31" t="str">
        <f t="array" ref="F85">xlookup(A85, sectors!B:B, sectors!C:C)</f>
        <v>Engineering &amp; Construction</v>
      </c>
      <c r="G85" s="21" t="str">
        <f t="array" ref="G85">XLOOKUP(A85, sectors!B:B, sectors!E:E)</f>
        <v>General Industrials</v>
      </c>
      <c r="H85" s="32" t="s">
        <v>1791</v>
      </c>
      <c r="I85" s="32" t="s">
        <v>1792</v>
      </c>
      <c r="J85" s="33" t="str">
        <f t="shared" si="19"/>
        <v>https://find-and-update.company-information.service.gov.uk/company/00137013</v>
      </c>
      <c r="K85" s="21" t="s">
        <v>1793</v>
      </c>
      <c r="L85" s="21" t="s">
        <v>1789</v>
      </c>
      <c r="M85" s="34" t="s">
        <v>1794</v>
      </c>
    </row>
    <row r="86">
      <c r="A86" s="21" t="s">
        <v>1795</v>
      </c>
      <c r="B86" s="21" t="s">
        <v>1796</v>
      </c>
      <c r="C86" s="21" t="s">
        <v>1797</v>
      </c>
      <c r="D86" s="21" t="str">
        <f t="shared" ref="D86:D89" si="20">left(E86, 3)</f>
        <v>SMT</v>
      </c>
      <c r="E86" s="21" t="s">
        <v>1798</v>
      </c>
      <c r="F86" s="31" t="str">
        <f t="array" ref="F86">xlookup(A86, sectors!B:B, sectors!C:C)</f>
        <v>Financial Services</v>
      </c>
      <c r="G86" s="21" t="str">
        <f t="array" ref="G86">XLOOKUP(A86, sectors!B:B, sectors!E:E)</f>
        <v>Equity Investment Instruments</v>
      </c>
      <c r="H86" s="32" t="s">
        <v>1799</v>
      </c>
      <c r="I86" s="32" t="s">
        <v>1800</v>
      </c>
      <c r="J86" s="33" t="str">
        <f t="shared" si="19"/>
        <v>https://find-and-update.company-information.service.gov.uk/company/SC007058</v>
      </c>
      <c r="K86" s="21" t="s">
        <v>1801</v>
      </c>
      <c r="L86" s="21"/>
      <c r="M86" s="34" t="s">
        <v>1802</v>
      </c>
    </row>
    <row r="87">
      <c r="A87" s="21" t="s">
        <v>1803</v>
      </c>
      <c r="B87" s="21" t="s">
        <v>1804</v>
      </c>
      <c r="C87" s="21" t="str">
        <f t="array" ref="C87">xlookup(B87, sectors!A:A, sectors!A:A)</f>
        <v>Smith &amp; Nephew</v>
      </c>
      <c r="D87" s="21" t="str">
        <f t="shared" si="20"/>
        <v>SN.</v>
      </c>
      <c r="E87" s="21" t="s">
        <v>1805</v>
      </c>
      <c r="F87" s="31" t="str">
        <f t="array" ref="F87">xlookup(A87, sectors!B:B, sectors!C:C)</f>
        <v>Engineering &amp; Construction</v>
      </c>
      <c r="G87" s="21" t="str">
        <f t="array" ref="G87">XLOOKUP(A87, sectors!B:B, sectors!E:E)</f>
        <v>Health Care Equipment &amp; Services</v>
      </c>
      <c r="H87" s="32" t="s">
        <v>1806</v>
      </c>
      <c r="I87" s="32" t="s">
        <v>1807</v>
      </c>
      <c r="J87" s="33" t="str">
        <f t="shared" si="19"/>
        <v>https://find-and-update.company-information.service.gov.uk/company/00324357</v>
      </c>
      <c r="K87" s="21" t="s">
        <v>1808</v>
      </c>
      <c r="L87" s="21" t="s">
        <v>1804</v>
      </c>
      <c r="M87" s="34" t="s">
        <v>1809</v>
      </c>
    </row>
    <row r="88">
      <c r="A88" s="21" t="s">
        <v>1810</v>
      </c>
      <c r="B88" s="21" t="s">
        <v>1811</v>
      </c>
      <c r="C88" s="21" t="str">
        <f t="array" ref="C88">xlookup(B88, sectors!A:A, sectors!A:A)</f>
        <v>Spirax-Sarco Engineering</v>
      </c>
      <c r="D88" s="21" t="str">
        <f t="shared" si="20"/>
        <v>SPX</v>
      </c>
      <c r="E88" s="21" t="s">
        <v>1812</v>
      </c>
      <c r="F88" s="31" t="str">
        <f t="array" ref="F88">xlookup(A88, sectors!B:B, sectors!C:C)</f>
        <v>Engineering &amp; Construction</v>
      </c>
      <c r="G88" s="21" t="str">
        <f t="array" ref="G88">XLOOKUP(A88, sectors!B:B, sectors!E:E)</f>
        <v>Industrial Engineering</v>
      </c>
      <c r="H88" s="32" t="s">
        <v>1813</v>
      </c>
      <c r="I88" s="32" t="s">
        <v>1814</v>
      </c>
      <c r="J88" s="33" t="str">
        <f t="shared" si="19"/>
        <v>https://find-and-update.company-information.service.gov.uk/company/00596337</v>
      </c>
      <c r="K88" s="21" t="s">
        <v>1815</v>
      </c>
      <c r="L88" s="21"/>
      <c r="M88" s="34" t="s">
        <v>1816</v>
      </c>
    </row>
    <row r="89">
      <c r="A89" s="21" t="s">
        <v>1817</v>
      </c>
      <c r="B89" s="21" t="s">
        <v>1817</v>
      </c>
      <c r="C89" s="21" t="s">
        <v>1818</v>
      </c>
      <c r="D89" s="21" t="str">
        <f t="shared" si="20"/>
        <v>SSE</v>
      </c>
      <c r="E89" s="21" t="s">
        <v>1819</v>
      </c>
      <c r="F89" s="31" t="str">
        <f t="array" ref="F89">xlookup(A89, sectors!B:B, sectors!C:C)</f>
        <v>Utilities</v>
      </c>
      <c r="G89" s="21" t="str">
        <f t="array" ref="G89">XLOOKUP(A89, sectors!B:B, sectors!E:E)</f>
        <v>Electricity</v>
      </c>
      <c r="H89" s="32" t="s">
        <v>1820</v>
      </c>
      <c r="I89" s="32" t="s">
        <v>1821</v>
      </c>
      <c r="J89" s="33" t="str">
        <f t="shared" si="19"/>
        <v>https://find-and-update.company-information.service.gov.uk/company/SC117119</v>
      </c>
      <c r="K89" s="21" t="s">
        <v>1822</v>
      </c>
      <c r="L89" s="21"/>
      <c r="M89" s="34" t="s">
        <v>1823</v>
      </c>
    </row>
    <row r="90">
      <c r="A90" s="21" t="s">
        <v>1824</v>
      </c>
      <c r="B90" s="21" t="s">
        <v>1825</v>
      </c>
      <c r="C90" s="21" t="str">
        <f t="array" ref="C90">xlookup(B90, sectors!A:A, sectors!A:A)</f>
        <v>Standard Chartered</v>
      </c>
      <c r="D90" s="21" t="s">
        <v>1824</v>
      </c>
      <c r="E90" s="21" t="s">
        <v>1826</v>
      </c>
      <c r="F90" s="31" t="str">
        <f t="array" ref="F90">xlookup(A90, sectors!B:B, sectors!C:C)</f>
        <v>Financial Services</v>
      </c>
      <c r="G90" s="31" t="str">
        <f t="array" ref="G90">XLOOKUP(A90, sectors!B:B, sectors!E:E)</f>
        <v>Banks</v>
      </c>
      <c r="H90" s="32" t="s">
        <v>1827</v>
      </c>
      <c r="I90" s="32" t="s">
        <v>1828</v>
      </c>
      <c r="J90" s="33" t="str">
        <f t="shared" si="19"/>
        <v>https://find-and-update.company-information.service.gov.uk/company/00966425</v>
      </c>
      <c r="K90" s="21" t="s">
        <v>1829</v>
      </c>
      <c r="L90" s="21" t="s">
        <v>1825</v>
      </c>
      <c r="M90" s="34" t="s">
        <v>1830</v>
      </c>
    </row>
    <row r="91">
      <c r="A91" s="21" t="s">
        <v>1831</v>
      </c>
      <c r="B91" s="21" t="s">
        <v>1832</v>
      </c>
      <c r="C91" s="21" t="s">
        <v>1833</v>
      </c>
      <c r="D91" s="21" t="str">
        <f t="shared" ref="D91:D92" si="21">left(E91, 3)</f>
        <v>STJ</v>
      </c>
      <c r="E91" s="21" t="s">
        <v>1834</v>
      </c>
      <c r="F91" s="31" t="str">
        <f t="array" ref="F91">xlookup(A91, sectors!B:B, sectors!C:C)</f>
        <v>Financial Services</v>
      </c>
      <c r="G91" s="21" t="str">
        <f t="array" ref="G91">XLOOKUP(A91, sectors!B:B, sectors!E:E)</f>
        <v>Financial Services</v>
      </c>
      <c r="H91" s="32" t="s">
        <v>1835</v>
      </c>
      <c r="I91" s="32" t="s">
        <v>1836</v>
      </c>
      <c r="J91" s="33" t="str">
        <f t="shared" si="19"/>
        <v>https://find-and-update.company-information.service.gov.uk/company/03183415</v>
      </c>
      <c r="K91" s="21" t="s">
        <v>1837</v>
      </c>
      <c r="L91" s="21"/>
      <c r="M91" s="34" t="s">
        <v>1838</v>
      </c>
    </row>
    <row r="92">
      <c r="A92" s="21" t="s">
        <v>1839</v>
      </c>
      <c r="B92" s="21" t="s">
        <v>1840</v>
      </c>
      <c r="C92" s="21" t="str">
        <f t="array" ref="C92">xlookup(B92, sectors!A:A, sectors!A:A)</f>
        <v>Severn Trent</v>
      </c>
      <c r="D92" s="21" t="str">
        <f t="shared" si="21"/>
        <v>SVT</v>
      </c>
      <c r="E92" s="21" t="s">
        <v>1841</v>
      </c>
      <c r="F92" s="31" t="str">
        <f t="array" ref="F92">xlookup(A92, sectors!B:B, sectors!C:C)</f>
        <v>Utilities</v>
      </c>
      <c r="G92" s="21" t="str">
        <f t="array" ref="G92">XLOOKUP(A92, sectors!B:B, sectors!E:E)</f>
        <v>Gas, Water &amp; Multi-utilities</v>
      </c>
      <c r="H92" s="32" t="s">
        <v>1842</v>
      </c>
      <c r="I92" s="32" t="s">
        <v>1843</v>
      </c>
      <c r="J92" s="33" t="str">
        <f t="shared" si="19"/>
        <v>https://find-and-update.company-information.service.gov.uk/company/02366619</v>
      </c>
      <c r="K92" s="21" t="s">
        <v>1844</v>
      </c>
      <c r="L92" s="21"/>
      <c r="M92" s="34" t="s">
        <v>1845</v>
      </c>
    </row>
    <row r="93">
      <c r="A93" s="21" t="s">
        <v>1846</v>
      </c>
      <c r="B93" s="21" t="s">
        <v>1847</v>
      </c>
      <c r="C93" s="21" t="str">
        <f t="array" ref="C93">xlookup(B93, sectors!A:A, sectors!A:A)</f>
        <v>Tesco</v>
      </c>
      <c r="D93" s="21" t="s">
        <v>1846</v>
      </c>
      <c r="E93" s="21" t="s">
        <v>1848</v>
      </c>
      <c r="F93" s="31" t="str">
        <f t="array" ref="F93">xlookup(A93, sectors!B:B, sectors!C:C)</f>
        <v>Food &amp; Beverage</v>
      </c>
      <c r="G93" s="21" t="str">
        <f t="array" ref="G93">XLOOKUP(A93, sectors!B:B, sectors!E:E)</f>
        <v>Food &amp; Drug Retailers</v>
      </c>
      <c r="H93" s="32" t="s">
        <v>1849</v>
      </c>
      <c r="I93" s="32" t="s">
        <v>1850</v>
      </c>
      <c r="J93" s="33" t="str">
        <f t="shared" si="19"/>
        <v>https://find-and-update.company-information.service.gov.uk/company/00445790</v>
      </c>
      <c r="K93" s="21" t="s">
        <v>1851</v>
      </c>
      <c r="L93" s="21"/>
      <c r="M93" s="34" t="s">
        <v>1852</v>
      </c>
    </row>
    <row r="94">
      <c r="A94" s="21" t="s">
        <v>1853</v>
      </c>
      <c r="B94" s="21" t="s">
        <v>1854</v>
      </c>
      <c r="C94" s="21" t="str">
        <f t="array" ref="C94">xlookup(B94, sectors!A:A, sectors!A:A)</f>
        <v>Taylor Wimpey</v>
      </c>
      <c r="D94" s="21" t="str">
        <f>left(E94, 3)</f>
        <v>TW.</v>
      </c>
      <c r="E94" s="21" t="s">
        <v>1855</v>
      </c>
      <c r="F94" s="31" t="str">
        <f t="array" ref="F94">xlookup(A94, sectors!B:B, sectors!C:C)</f>
        <v>Engineering &amp; Construction</v>
      </c>
      <c r="G94" s="31" t="str">
        <f t="array" ref="G94">XLOOKUP(A94, sectors!B:B, sectors!E:E)</f>
        <v>Household Goods &amp; Home Construction</v>
      </c>
      <c r="H94" s="32" t="s">
        <v>1856</v>
      </c>
      <c r="I94" s="32" t="s">
        <v>1857</v>
      </c>
      <c r="J94" s="33" t="str">
        <f t="shared" si="19"/>
        <v>https://find-and-update.company-information.service.gov.uk/company/00296805</v>
      </c>
      <c r="K94" s="21" t="s">
        <v>1858</v>
      </c>
      <c r="L94" s="21"/>
      <c r="M94" s="34" t="s">
        <v>1859</v>
      </c>
    </row>
    <row r="95">
      <c r="A95" s="21" t="s">
        <v>1860</v>
      </c>
      <c r="B95" s="21" t="s">
        <v>1861</v>
      </c>
      <c r="C95" s="21" t="str">
        <f t="array" ref="C95">xlookup(B95, sectors!A:A, sectors!A:A)</f>
        <v>Unilever</v>
      </c>
      <c r="D95" s="21" t="s">
        <v>1860</v>
      </c>
      <c r="E95" s="21" t="s">
        <v>1862</v>
      </c>
      <c r="F95" s="31" t="str">
        <f t="array" ref="F95">xlookup(A95, sectors!B:B, sectors!C:C)</f>
        <v>Food &amp; Beverage</v>
      </c>
      <c r="G95" s="31" t="str">
        <f t="array" ref="G95">XLOOKUP(A95, sectors!B:B, sectors!E:E)</f>
        <v>Personal Goods</v>
      </c>
      <c r="H95" s="32" t="s">
        <v>1863</v>
      </c>
      <c r="I95" s="32" t="s">
        <v>1864</v>
      </c>
      <c r="J95" s="33" t="str">
        <f t="shared" si="19"/>
        <v>https://find-and-update.company-information.service.gov.uk/company/00041424</v>
      </c>
      <c r="K95" s="21" t="s">
        <v>1865</v>
      </c>
      <c r="L95" s="21" t="s">
        <v>1861</v>
      </c>
      <c r="M95" s="34" t="s">
        <v>1866</v>
      </c>
    </row>
    <row r="96">
      <c r="A96" s="21" t="s">
        <v>1867</v>
      </c>
      <c r="B96" s="21" t="s">
        <v>1868</v>
      </c>
      <c r="C96" s="21" t="str">
        <f t="array" ref="C96">xlookup(B96, sectors!A:A, sectors!A:A)</f>
        <v>Unite Group</v>
      </c>
      <c r="D96" s="21" t="str">
        <f t="shared" ref="D96:D98" si="22">left(E96, 3)</f>
        <v>UTG</v>
      </c>
      <c r="E96" s="21" t="s">
        <v>1869</v>
      </c>
      <c r="F96" s="31" t="str">
        <f t="array" ref="F96">xlookup(A96, sectors!B:B, sectors!C:C)</f>
        <v>Real Estate</v>
      </c>
      <c r="G96" s="21" t="str">
        <f t="array" ref="G96">XLOOKUP(A96, sectors!B:B, sectors!E:E)</f>
        <v>Real Estate</v>
      </c>
      <c r="H96" s="32" t="s">
        <v>1870</v>
      </c>
      <c r="I96" s="32" t="s">
        <v>1871</v>
      </c>
      <c r="J96" s="33" t="str">
        <f t="shared" si="19"/>
        <v>https://find-and-update.company-information.service.gov.uk/company/03199160</v>
      </c>
      <c r="K96" s="21" t="s">
        <v>1872</v>
      </c>
      <c r="L96" s="21"/>
      <c r="M96" s="34" t="s">
        <v>1873</v>
      </c>
    </row>
    <row r="97">
      <c r="A97" s="21" t="s">
        <v>1874</v>
      </c>
      <c r="B97" s="21" t="s">
        <v>1875</v>
      </c>
      <c r="C97" s="21" t="s">
        <v>1876</v>
      </c>
      <c r="D97" s="21" t="str">
        <f t="shared" si="22"/>
        <v>UU.</v>
      </c>
      <c r="E97" s="21" t="s">
        <v>1877</v>
      </c>
      <c r="F97" s="31" t="str">
        <f t="array" ref="F97">xlookup(A97, sectors!B:B, sectors!C:C)</f>
        <v>Utilities</v>
      </c>
      <c r="G97" s="31" t="str">
        <f t="array" ref="G97">XLOOKUP(A97, sectors!B:B, sectors!E:E)</f>
        <v>Gas, Water &amp; Multi-utilities</v>
      </c>
      <c r="H97" s="32" t="s">
        <v>1878</v>
      </c>
      <c r="I97" s="32" t="s">
        <v>1879</v>
      </c>
      <c r="J97" s="33" t="str">
        <f t="shared" si="19"/>
        <v>https://find-and-update.company-information.service.gov.uk/company/06559020</v>
      </c>
      <c r="K97" s="21" t="s">
        <v>1880</v>
      </c>
      <c r="L97" s="21"/>
      <c r="M97" s="34" t="s">
        <v>1881</v>
      </c>
    </row>
    <row r="98">
      <c r="A98" s="21" t="s">
        <v>1882</v>
      </c>
      <c r="B98" s="21" t="s">
        <v>1883</v>
      </c>
      <c r="C98" s="21" t="str">
        <f t="array" ref="C98">xlookup(B98, sectors!A:A, sectors!A:A)</f>
        <v>Vodafone Group</v>
      </c>
      <c r="D98" s="21" t="str">
        <f t="shared" si="22"/>
        <v>VOD</v>
      </c>
      <c r="E98" s="21" t="s">
        <v>1884</v>
      </c>
      <c r="F98" s="31" t="str">
        <f t="array" ref="F98">xlookup(A98, sectors!B:B, sectors!C:C)</f>
        <v>Retail &amp; Services</v>
      </c>
      <c r="G98" s="21" t="str">
        <f t="array" ref="G98">XLOOKUP(A98, sectors!B:B, sectors!E:E)</f>
        <v>Mobile Telecommunications</v>
      </c>
      <c r="H98" s="32" t="s">
        <v>1885</v>
      </c>
      <c r="I98" s="32" t="s">
        <v>1886</v>
      </c>
      <c r="J98" s="33" t="str">
        <f t="shared" si="19"/>
        <v>https://find-and-update.company-information.service.gov.uk/company/01833679</v>
      </c>
      <c r="K98" s="21" t="s">
        <v>1887</v>
      </c>
      <c r="L98" s="21"/>
      <c r="M98" s="34" t="s">
        <v>1888</v>
      </c>
    </row>
    <row r="99">
      <c r="A99" s="21" t="s">
        <v>1889</v>
      </c>
      <c r="B99" s="21" t="s">
        <v>1890</v>
      </c>
      <c r="C99" s="21" t="str">
        <f t="array" ref="C99">xlookup(B99, sectors!A:A, sectors!A:A)</f>
        <v>Weir Group</v>
      </c>
      <c r="D99" s="21" t="s">
        <v>1889</v>
      </c>
      <c r="E99" s="21" t="s">
        <v>1891</v>
      </c>
      <c r="F99" s="31" t="str">
        <f t="array" ref="F99">xlookup(A99, sectors!B:B, sectors!C:C)</f>
        <v>Engineering &amp; Construction</v>
      </c>
      <c r="G99" s="21" t="str">
        <f t="array" ref="G99">XLOOKUP(A99, sectors!B:B, sectors!E:E)</f>
        <v>Industrial Goods and Services</v>
      </c>
      <c r="H99" s="32" t="s">
        <v>1892</v>
      </c>
      <c r="I99" s="32" t="s">
        <v>1893</v>
      </c>
      <c r="J99" s="33" t="str">
        <f t="shared" si="19"/>
        <v>https://find-and-update.company-information.service.gov.uk/company/SC002934</v>
      </c>
      <c r="K99" s="21" t="s">
        <v>1894</v>
      </c>
      <c r="L99" s="21"/>
      <c r="M99" s="34" t="s">
        <v>1895</v>
      </c>
    </row>
    <row r="100">
      <c r="A100" s="21" t="s">
        <v>1896</v>
      </c>
      <c r="B100" s="21" t="s">
        <v>1896</v>
      </c>
      <c r="C100" s="21" t="s">
        <v>1897</v>
      </c>
      <c r="D100" s="21" t="str">
        <f t="shared" ref="D100:D101" si="23">left(E100, 3)</f>
        <v>WPP</v>
      </c>
      <c r="E100" s="21" t="s">
        <v>1898</v>
      </c>
      <c r="F100" s="31" t="str">
        <f t="array" ref="F100">xlookup(A100, sectors!B:B, sectors!C:C)</f>
        <v>Retail &amp; Services</v>
      </c>
      <c r="G100" s="21" t="str">
        <f t="array" ref="G100">XLOOKUP(A100, sectors!B:B, sectors!E:E)</f>
        <v>Media</v>
      </c>
      <c r="H100" s="32" t="s">
        <v>1899</v>
      </c>
      <c r="I100" s="32" t="s">
        <v>1900</v>
      </c>
      <c r="J100" s="38" t="s">
        <v>1901</v>
      </c>
      <c r="K100" s="21" t="s">
        <v>1902</v>
      </c>
      <c r="L100" s="21" t="s">
        <v>1896</v>
      </c>
      <c r="M100" s="34" t="s">
        <v>1903</v>
      </c>
    </row>
    <row r="101">
      <c r="A101" s="21" t="s">
        <v>1904</v>
      </c>
      <c r="B101" s="21" t="s">
        <v>1905</v>
      </c>
      <c r="C101" s="21" t="str">
        <f t="array" ref="C101">xlookup(B101, sectors!A:A, sectors!A:A)</f>
        <v>Whitbread</v>
      </c>
      <c r="D101" s="21" t="str">
        <f t="shared" si="23"/>
        <v>WTB</v>
      </c>
      <c r="E101" s="21" t="s">
        <v>1906</v>
      </c>
      <c r="F101" s="31" t="str">
        <f t="array" ref="F101">xlookup(A101, sectors!B:B, sectors!C:C)</f>
        <v>Hospitality</v>
      </c>
      <c r="G101" s="21" t="str">
        <f t="array" ref="G101">XLOOKUP(A101, sectors!B:B, sectors!E:E)</f>
        <v>Retail hospitality</v>
      </c>
      <c r="H101" s="32" t="s">
        <v>1907</v>
      </c>
      <c r="I101" s="32" t="s">
        <v>1908</v>
      </c>
      <c r="J101" s="33" t="str">
        <f>"https://find-and-update.company-information.service.gov.uk/company/"&amp;$I101</f>
        <v>https://find-and-update.company-information.service.gov.uk/company/04120344</v>
      </c>
      <c r="K101" s="21" t="s">
        <v>1909</v>
      </c>
      <c r="L101" s="21"/>
      <c r="M101" s="34" t="s">
        <v>1910</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8"/>
    <hyperlink r:id="rId67" ref="M69"/>
    <hyperlink r:id="rId68" ref="M70"/>
    <hyperlink r:id="rId69" ref="M71"/>
    <hyperlink r:id="rId70" ref="M72"/>
    <hyperlink r:id="rId71" ref="M73"/>
    <hyperlink r:id="rId72" ref="M74"/>
    <hyperlink r:id="rId73" ref="M75"/>
    <hyperlink r:id="rId74" ref="M76"/>
    <hyperlink r:id="rId75" ref="M77"/>
    <hyperlink r:id="rId76" ref="M78"/>
    <hyperlink r:id="rId77" ref="M79"/>
    <hyperlink r:id="rId78" ref="M80"/>
    <hyperlink r:id="rId79" ref="M81"/>
    <hyperlink r:id="rId80" ref="M82"/>
    <hyperlink r:id="rId81" ref="M83"/>
    <hyperlink r:id="rId82" ref="M84"/>
    <hyperlink r:id="rId83" ref="M85"/>
    <hyperlink r:id="rId84" ref="M86"/>
    <hyperlink r:id="rId85" ref="M87"/>
    <hyperlink r:id="rId86" ref="M88"/>
    <hyperlink r:id="rId87" ref="M89"/>
    <hyperlink r:id="rId88" ref="M90"/>
    <hyperlink r:id="rId89" ref="M91"/>
    <hyperlink r:id="rId90" ref="M92"/>
    <hyperlink r:id="rId91" ref="M93"/>
    <hyperlink r:id="rId92" ref="M94"/>
    <hyperlink r:id="rId93" ref="M95"/>
    <hyperlink r:id="rId94" ref="M96"/>
    <hyperlink r:id="rId95" ref="M97"/>
    <hyperlink r:id="rId96" ref="M98"/>
    <hyperlink r:id="rId97" ref="M99"/>
    <hyperlink r:id="rId98" ref="J100"/>
    <hyperlink r:id="rId99" ref="M100"/>
    <hyperlink r:id="rId100" ref="M101"/>
  </hyperlinks>
  <drawing r:id="rId1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9.13"/>
    <col customWidth="1" min="3" max="4" width="16.25"/>
    <col customWidth="1" min="5" max="5" width="19.0"/>
  </cols>
  <sheetData>
    <row r="1">
      <c r="A1" s="39" t="s">
        <v>1911</v>
      </c>
      <c r="B1" s="39" t="s">
        <v>1912</v>
      </c>
      <c r="C1" s="39" t="s">
        <v>1913</v>
      </c>
      <c r="D1" s="39" t="s">
        <v>1914</v>
      </c>
      <c r="E1" s="39" t="s">
        <v>1915</v>
      </c>
    </row>
    <row r="2">
      <c r="A2" s="37" t="s">
        <v>1239</v>
      </c>
      <c r="B2" s="37" t="s">
        <v>1238</v>
      </c>
      <c r="C2" s="37" t="s">
        <v>1916</v>
      </c>
      <c r="D2" s="37" t="s">
        <v>1917</v>
      </c>
      <c r="E2" s="37" t="s">
        <v>1917</v>
      </c>
    </row>
    <row r="3">
      <c r="A3" s="37" t="s">
        <v>1722</v>
      </c>
      <c r="B3" s="37" t="s">
        <v>1721</v>
      </c>
      <c r="C3" s="37" t="s">
        <v>1916</v>
      </c>
      <c r="D3" s="37" t="s">
        <v>1917</v>
      </c>
      <c r="E3" s="37" t="s">
        <v>1917</v>
      </c>
    </row>
    <row r="4">
      <c r="A4" s="37" t="s">
        <v>1593</v>
      </c>
      <c r="B4" s="37" t="s">
        <v>1592</v>
      </c>
      <c r="C4" s="37" t="s">
        <v>1918</v>
      </c>
      <c r="D4" s="37" t="s">
        <v>1919</v>
      </c>
      <c r="E4" s="37" t="s">
        <v>1919</v>
      </c>
    </row>
    <row r="5">
      <c r="A5" s="37" t="s">
        <v>1600</v>
      </c>
      <c r="B5" s="37" t="s">
        <v>1599</v>
      </c>
      <c r="C5" s="37" t="s">
        <v>1916</v>
      </c>
      <c r="D5" s="37" t="s">
        <v>1920</v>
      </c>
      <c r="E5" s="37" t="s">
        <v>1920</v>
      </c>
    </row>
    <row r="6">
      <c r="A6" s="37" t="s">
        <v>1246</v>
      </c>
      <c r="B6" s="37" t="s">
        <v>1245</v>
      </c>
      <c r="C6" s="37" t="s">
        <v>1918</v>
      </c>
      <c r="D6" s="37" t="s">
        <v>1921</v>
      </c>
      <c r="E6" s="37" t="s">
        <v>1921</v>
      </c>
    </row>
    <row r="7">
      <c r="A7" s="37" t="s">
        <v>1470</v>
      </c>
      <c r="B7" s="37" t="s">
        <v>1469</v>
      </c>
      <c r="C7" s="37" t="s">
        <v>1918</v>
      </c>
      <c r="D7" s="40" t="s">
        <v>1922</v>
      </c>
      <c r="E7" s="37" t="s">
        <v>1921</v>
      </c>
    </row>
    <row r="8">
      <c r="A8" s="37" t="s">
        <v>1572</v>
      </c>
      <c r="B8" s="37" t="s">
        <v>1571</v>
      </c>
      <c r="C8" s="37" t="s">
        <v>1918</v>
      </c>
      <c r="D8" s="37" t="s">
        <v>1921</v>
      </c>
      <c r="E8" s="37" t="s">
        <v>1921</v>
      </c>
    </row>
    <row r="9">
      <c r="A9" s="37" t="s">
        <v>1923</v>
      </c>
      <c r="B9" s="37" t="s">
        <v>1679</v>
      </c>
      <c r="C9" s="37" t="s">
        <v>1918</v>
      </c>
      <c r="D9" s="37" t="s">
        <v>1921</v>
      </c>
      <c r="E9" s="37" t="s">
        <v>1921</v>
      </c>
    </row>
    <row r="10">
      <c r="A10" s="37" t="s">
        <v>1825</v>
      </c>
      <c r="B10" s="37" t="s">
        <v>1824</v>
      </c>
      <c r="C10" s="37" t="s">
        <v>1918</v>
      </c>
      <c r="D10" s="37" t="s">
        <v>1921</v>
      </c>
      <c r="E10" s="37" t="s">
        <v>1921</v>
      </c>
    </row>
    <row r="11">
      <c r="A11" s="37" t="s">
        <v>1328</v>
      </c>
      <c r="B11" s="37" t="s">
        <v>1327</v>
      </c>
      <c r="C11" s="37" t="s">
        <v>1924</v>
      </c>
      <c r="D11" s="40" t="s">
        <v>1925</v>
      </c>
      <c r="E11" s="37" t="s">
        <v>1926</v>
      </c>
    </row>
    <row r="12">
      <c r="A12" s="37" t="s">
        <v>1378</v>
      </c>
      <c r="B12" s="37" t="s">
        <v>1377</v>
      </c>
      <c r="C12" s="37" t="s">
        <v>1924</v>
      </c>
      <c r="D12" s="37" t="s">
        <v>1926</v>
      </c>
      <c r="E12" s="37" t="s">
        <v>1926</v>
      </c>
    </row>
    <row r="13">
      <c r="A13" s="37" t="s">
        <v>1350</v>
      </c>
      <c r="B13" s="37" t="s">
        <v>1349</v>
      </c>
      <c r="C13" s="37" t="s">
        <v>1916</v>
      </c>
      <c r="D13" s="37" t="s">
        <v>1927</v>
      </c>
      <c r="E13" s="37" t="s">
        <v>1927</v>
      </c>
    </row>
    <row r="14">
      <c r="A14" s="37" t="s">
        <v>1541</v>
      </c>
      <c r="B14" s="37" t="s">
        <v>1540</v>
      </c>
      <c r="C14" s="37" t="s">
        <v>1916</v>
      </c>
      <c r="D14" s="37" t="s">
        <v>1927</v>
      </c>
      <c r="E14" s="37" t="s">
        <v>1927</v>
      </c>
    </row>
    <row r="15">
      <c r="A15" s="37" t="s">
        <v>1357</v>
      </c>
      <c r="B15" s="37" t="s">
        <v>1356</v>
      </c>
      <c r="C15" s="37" t="s">
        <v>1916</v>
      </c>
      <c r="D15" s="40" t="s">
        <v>1928</v>
      </c>
      <c r="E15" s="37" t="s">
        <v>1929</v>
      </c>
    </row>
    <row r="16">
      <c r="A16" s="37" t="s">
        <v>1818</v>
      </c>
      <c r="B16" s="37" t="s">
        <v>1817</v>
      </c>
      <c r="C16" s="37" t="s">
        <v>1930</v>
      </c>
      <c r="D16" s="40" t="s">
        <v>1930</v>
      </c>
      <c r="E16" s="37" t="s">
        <v>1931</v>
      </c>
    </row>
    <row r="17">
      <c r="A17" s="37" t="s">
        <v>1456</v>
      </c>
      <c r="B17" s="37" t="s">
        <v>1454</v>
      </c>
      <c r="C17" s="37" t="s">
        <v>1932</v>
      </c>
      <c r="D17" s="40" t="s">
        <v>1933</v>
      </c>
      <c r="E17" s="37" t="s">
        <v>1934</v>
      </c>
    </row>
    <row r="18">
      <c r="A18" s="37" t="s">
        <v>1796</v>
      </c>
      <c r="B18" s="37" t="s">
        <v>1795</v>
      </c>
      <c r="C18" s="37" t="s">
        <v>1918</v>
      </c>
      <c r="D18" s="40" t="s">
        <v>1918</v>
      </c>
      <c r="E18" s="37" t="s">
        <v>1935</v>
      </c>
    </row>
    <row r="19">
      <c r="A19" s="37" t="s">
        <v>1503</v>
      </c>
      <c r="B19" s="37" t="s">
        <v>1502</v>
      </c>
      <c r="C19" s="37" t="s">
        <v>1918</v>
      </c>
      <c r="D19" s="40" t="s">
        <v>1918</v>
      </c>
      <c r="E19" s="37" t="s">
        <v>1918</v>
      </c>
    </row>
    <row r="20">
      <c r="A20" s="37" t="s">
        <v>1179</v>
      </c>
      <c r="B20" s="37" t="s">
        <v>1178</v>
      </c>
      <c r="C20" s="37" t="s">
        <v>1918</v>
      </c>
      <c r="D20" s="37" t="s">
        <v>1918</v>
      </c>
      <c r="E20" s="37" t="s">
        <v>1918</v>
      </c>
    </row>
    <row r="21">
      <c r="A21" s="37" t="s">
        <v>1399</v>
      </c>
      <c r="B21" s="37" t="s">
        <v>1397</v>
      </c>
      <c r="C21" s="37" t="s">
        <v>1918</v>
      </c>
      <c r="D21" s="40" t="s">
        <v>1918</v>
      </c>
      <c r="E21" s="37" t="s">
        <v>1918</v>
      </c>
    </row>
    <row r="22">
      <c r="A22" s="37" t="s">
        <v>1448</v>
      </c>
      <c r="B22" s="37" t="s">
        <v>1447</v>
      </c>
      <c r="C22" s="37" t="s">
        <v>1918</v>
      </c>
      <c r="D22" s="37" t="s">
        <v>1918</v>
      </c>
      <c r="E22" s="37" t="s">
        <v>1918</v>
      </c>
    </row>
    <row r="23">
      <c r="A23" s="37" t="s">
        <v>1579</v>
      </c>
      <c r="B23" s="37" t="s">
        <v>1578</v>
      </c>
      <c r="C23" s="37" t="s">
        <v>1918</v>
      </c>
      <c r="D23" s="37" t="s">
        <v>1918</v>
      </c>
      <c r="E23" s="37" t="s">
        <v>1918</v>
      </c>
    </row>
    <row r="24">
      <c r="A24" s="37" t="s">
        <v>1647</v>
      </c>
      <c r="B24" s="37" t="s">
        <v>1646</v>
      </c>
      <c r="C24" s="37" t="s">
        <v>1918</v>
      </c>
      <c r="D24" s="40" t="s">
        <v>1918</v>
      </c>
      <c r="E24" s="37" t="s">
        <v>1918</v>
      </c>
    </row>
    <row r="25">
      <c r="A25" s="37" t="s">
        <v>1753</v>
      </c>
      <c r="B25" s="37" t="s">
        <v>1752</v>
      </c>
      <c r="C25" s="37" t="s">
        <v>1918</v>
      </c>
      <c r="D25" s="37" t="s">
        <v>1918</v>
      </c>
      <c r="E25" s="37" t="s">
        <v>1918</v>
      </c>
    </row>
    <row r="26">
      <c r="A26" s="37" t="s">
        <v>1833</v>
      </c>
      <c r="B26" s="37" t="s">
        <v>1831</v>
      </c>
      <c r="C26" s="37" t="s">
        <v>1918</v>
      </c>
      <c r="D26" s="40" t="s">
        <v>1918</v>
      </c>
      <c r="E26" s="37" t="s">
        <v>1918</v>
      </c>
    </row>
    <row r="27">
      <c r="A27" s="37" t="s">
        <v>1320</v>
      </c>
      <c r="B27" s="37" t="s">
        <v>1319</v>
      </c>
      <c r="C27" s="37" t="s">
        <v>1932</v>
      </c>
      <c r="D27" s="37" t="s">
        <v>1936</v>
      </c>
      <c r="E27" s="37" t="s">
        <v>1936</v>
      </c>
    </row>
    <row r="28">
      <c r="A28" s="37" t="s">
        <v>1623</v>
      </c>
      <c r="B28" s="37" t="s">
        <v>1622</v>
      </c>
      <c r="C28" s="37" t="s">
        <v>1924</v>
      </c>
      <c r="D28" s="37" t="s">
        <v>1937</v>
      </c>
      <c r="E28" s="37" t="s">
        <v>1937</v>
      </c>
    </row>
    <row r="29">
      <c r="A29" s="37" t="s">
        <v>1745</v>
      </c>
      <c r="B29" s="37" t="s">
        <v>1744</v>
      </c>
      <c r="C29" s="37" t="s">
        <v>1924</v>
      </c>
      <c r="D29" s="40" t="s">
        <v>1938</v>
      </c>
      <c r="E29" s="37" t="s">
        <v>1937</v>
      </c>
    </row>
    <row r="30">
      <c r="A30" s="37" t="s">
        <v>1847</v>
      </c>
      <c r="B30" s="37" t="s">
        <v>1846</v>
      </c>
      <c r="C30" s="37" t="s">
        <v>1924</v>
      </c>
      <c r="D30" s="37" t="s">
        <v>1937</v>
      </c>
      <c r="E30" s="37" t="s">
        <v>1937</v>
      </c>
    </row>
    <row r="31">
      <c r="A31" s="37" t="s">
        <v>1187</v>
      </c>
      <c r="B31" s="37" t="s">
        <v>1186</v>
      </c>
      <c r="C31" s="37" t="s">
        <v>1924</v>
      </c>
      <c r="D31" s="37" t="s">
        <v>1939</v>
      </c>
      <c r="E31" s="37" t="s">
        <v>1939</v>
      </c>
    </row>
    <row r="32">
      <c r="A32" s="37" t="s">
        <v>1586</v>
      </c>
      <c r="B32" s="37" t="s">
        <v>1585</v>
      </c>
      <c r="C32" s="37" t="s">
        <v>1932</v>
      </c>
      <c r="D32" s="37" t="s">
        <v>1940</v>
      </c>
      <c r="E32" s="37" t="s">
        <v>1940</v>
      </c>
    </row>
    <row r="33">
      <c r="A33" s="37" t="s">
        <v>1608</v>
      </c>
      <c r="B33" s="37" t="s">
        <v>1606</v>
      </c>
      <c r="C33" s="37" t="s">
        <v>1930</v>
      </c>
      <c r="D33" s="40" t="s">
        <v>1930</v>
      </c>
      <c r="E33" s="37" t="s">
        <v>1941</v>
      </c>
    </row>
    <row r="34">
      <c r="A34" s="37" t="s">
        <v>1840</v>
      </c>
      <c r="B34" s="37" t="s">
        <v>1839</v>
      </c>
      <c r="C34" s="37" t="s">
        <v>1930</v>
      </c>
      <c r="D34" s="37" t="s">
        <v>1941</v>
      </c>
      <c r="E34" s="37" t="s">
        <v>1941</v>
      </c>
    </row>
    <row r="35">
      <c r="A35" s="37" t="s">
        <v>1875</v>
      </c>
      <c r="B35" s="37" t="s">
        <v>1874</v>
      </c>
      <c r="C35" s="37" t="s">
        <v>1930</v>
      </c>
      <c r="D35" s="40" t="s">
        <v>1930</v>
      </c>
      <c r="E35" s="37" t="s">
        <v>1941</v>
      </c>
    </row>
    <row r="36">
      <c r="A36" s="37" t="s">
        <v>1781</v>
      </c>
      <c r="B36" s="37" t="s">
        <v>1780</v>
      </c>
      <c r="C36" s="37" t="s">
        <v>1932</v>
      </c>
      <c r="D36" s="40" t="s">
        <v>1942</v>
      </c>
      <c r="E36" s="37" t="s">
        <v>1943</v>
      </c>
    </row>
    <row r="37">
      <c r="A37" s="37" t="s">
        <v>1789</v>
      </c>
      <c r="B37" s="37" t="s">
        <v>1788</v>
      </c>
      <c r="C37" s="37" t="s">
        <v>1916</v>
      </c>
      <c r="D37" s="37" t="s">
        <v>1943</v>
      </c>
      <c r="E37" s="37" t="s">
        <v>1943</v>
      </c>
    </row>
    <row r="38">
      <c r="A38" s="37" t="s">
        <v>1774</v>
      </c>
      <c r="B38" s="37" t="s">
        <v>1773</v>
      </c>
      <c r="C38" s="37" t="s">
        <v>1932</v>
      </c>
      <c r="D38" s="40" t="s">
        <v>1942</v>
      </c>
      <c r="E38" s="37" t="s">
        <v>1943</v>
      </c>
    </row>
    <row r="39">
      <c r="A39" s="37" t="s">
        <v>1532</v>
      </c>
      <c r="B39" s="37" t="s">
        <v>1531</v>
      </c>
      <c r="C39" s="37" t="s">
        <v>1932</v>
      </c>
      <c r="D39" s="40" t="s">
        <v>1944</v>
      </c>
      <c r="E39" s="37" t="s">
        <v>1945</v>
      </c>
    </row>
    <row r="40">
      <c r="A40" s="37" t="s">
        <v>1616</v>
      </c>
      <c r="B40" s="37" t="s">
        <v>1614</v>
      </c>
      <c r="C40" s="37" t="s">
        <v>1932</v>
      </c>
      <c r="D40" s="40" t="s">
        <v>1944</v>
      </c>
      <c r="E40" s="37" t="s">
        <v>1945</v>
      </c>
    </row>
    <row r="41">
      <c r="A41" s="37" t="s">
        <v>1364</v>
      </c>
      <c r="B41" s="37" t="s">
        <v>1363</v>
      </c>
      <c r="C41" s="37" t="s">
        <v>1672</v>
      </c>
      <c r="D41" s="40" t="s">
        <v>1946</v>
      </c>
      <c r="E41" s="37" t="s">
        <v>1947</v>
      </c>
    </row>
    <row r="42">
      <c r="A42" s="37" t="s">
        <v>1804</v>
      </c>
      <c r="B42" s="37" t="s">
        <v>1803</v>
      </c>
      <c r="C42" s="37" t="s">
        <v>1916</v>
      </c>
      <c r="D42" s="37" t="s">
        <v>1948</v>
      </c>
      <c r="E42" s="37" t="s">
        <v>1948</v>
      </c>
    </row>
    <row r="43">
      <c r="A43" s="37" t="s">
        <v>1260</v>
      </c>
      <c r="B43" s="37" t="s">
        <v>1259</v>
      </c>
      <c r="C43" s="37" t="s">
        <v>1916</v>
      </c>
      <c r="D43" s="37" t="s">
        <v>1949</v>
      </c>
      <c r="E43" s="37" t="s">
        <v>1949</v>
      </c>
    </row>
    <row r="44">
      <c r="A44" s="37" t="s">
        <v>1275</v>
      </c>
      <c r="B44" s="37" t="s">
        <v>1274</v>
      </c>
      <c r="C44" s="37" t="s">
        <v>1916</v>
      </c>
      <c r="D44" s="40" t="s">
        <v>1928</v>
      </c>
      <c r="E44" s="37" t="s">
        <v>1949</v>
      </c>
    </row>
    <row r="45">
      <c r="A45" s="37" t="s">
        <v>1654</v>
      </c>
      <c r="B45" s="37" t="s">
        <v>1652</v>
      </c>
      <c r="C45" s="37" t="s">
        <v>1916</v>
      </c>
      <c r="D45" s="40" t="s">
        <v>1928</v>
      </c>
      <c r="E45" s="37" t="s">
        <v>1949</v>
      </c>
    </row>
    <row r="46">
      <c r="A46" s="37" t="s">
        <v>1669</v>
      </c>
      <c r="B46" s="37" t="s">
        <v>1950</v>
      </c>
      <c r="C46" s="37" t="s">
        <v>1672</v>
      </c>
      <c r="D46" s="40" t="s">
        <v>1673</v>
      </c>
      <c r="E46" s="37" t="s">
        <v>1949</v>
      </c>
    </row>
    <row r="47">
      <c r="A47" s="37" t="s">
        <v>1854</v>
      </c>
      <c r="B47" s="37" t="s">
        <v>1853</v>
      </c>
      <c r="C47" s="37" t="s">
        <v>1916</v>
      </c>
      <c r="D47" s="37" t="s">
        <v>1949</v>
      </c>
      <c r="E47" s="37" t="s">
        <v>1949</v>
      </c>
    </row>
    <row r="48">
      <c r="A48" s="37" t="s">
        <v>1811</v>
      </c>
      <c r="B48" s="37" t="s">
        <v>1810</v>
      </c>
      <c r="C48" s="37" t="s">
        <v>1916</v>
      </c>
      <c r="D48" s="37" t="s">
        <v>1951</v>
      </c>
      <c r="E48" s="37" t="s">
        <v>1951</v>
      </c>
    </row>
    <row r="49">
      <c r="A49" s="37" t="s">
        <v>1890</v>
      </c>
      <c r="B49" s="37" t="s">
        <v>1889</v>
      </c>
      <c r="C49" s="37" t="s">
        <v>1916</v>
      </c>
      <c r="D49" s="37" t="s">
        <v>1952</v>
      </c>
      <c r="E49" s="37" t="s">
        <v>1952</v>
      </c>
    </row>
    <row r="50">
      <c r="A50" s="37" t="s">
        <v>1731</v>
      </c>
      <c r="B50" s="37" t="s">
        <v>1729</v>
      </c>
      <c r="C50" s="37" t="s">
        <v>1916</v>
      </c>
      <c r="D50" s="40" t="s">
        <v>1933</v>
      </c>
      <c r="E50" s="37" t="s">
        <v>1933</v>
      </c>
    </row>
    <row r="51">
      <c r="A51" s="37" t="s">
        <v>1268</v>
      </c>
      <c r="B51" s="37" t="s">
        <v>1266</v>
      </c>
      <c r="C51" s="37" t="s">
        <v>1918</v>
      </c>
      <c r="D51" s="37" t="s">
        <v>1953</v>
      </c>
      <c r="E51" s="37" t="s">
        <v>1953</v>
      </c>
    </row>
    <row r="52">
      <c r="A52" s="37" t="s">
        <v>1478</v>
      </c>
      <c r="B52" s="37" t="s">
        <v>1477</v>
      </c>
      <c r="C52" s="37" t="s">
        <v>1918</v>
      </c>
      <c r="D52" s="40" t="s">
        <v>1953</v>
      </c>
      <c r="E52" s="37" t="s">
        <v>1953</v>
      </c>
    </row>
    <row r="53">
      <c r="A53" s="37" t="s">
        <v>1224</v>
      </c>
      <c r="B53" s="37" t="s">
        <v>1223</v>
      </c>
      <c r="C53" s="37" t="s">
        <v>1918</v>
      </c>
      <c r="D53" s="37" t="s">
        <v>1954</v>
      </c>
      <c r="E53" s="37" t="s">
        <v>1954</v>
      </c>
    </row>
    <row r="54">
      <c r="A54" s="37" t="s">
        <v>1564</v>
      </c>
      <c r="B54" s="37" t="s">
        <v>1563</v>
      </c>
      <c r="C54" s="37" t="s">
        <v>1918</v>
      </c>
      <c r="D54" s="40" t="s">
        <v>1953</v>
      </c>
      <c r="E54" s="37" t="s">
        <v>1954</v>
      </c>
    </row>
    <row r="55">
      <c r="A55" s="37" t="s">
        <v>1630</v>
      </c>
      <c r="B55" s="37" t="s">
        <v>1629</v>
      </c>
      <c r="C55" s="37" t="s">
        <v>1918</v>
      </c>
      <c r="D55" s="40" t="s">
        <v>1953</v>
      </c>
      <c r="E55" s="37" t="s">
        <v>1954</v>
      </c>
    </row>
    <row r="56">
      <c r="A56" s="37" t="s">
        <v>1639</v>
      </c>
      <c r="B56" s="37" t="s">
        <v>1637</v>
      </c>
      <c r="C56" s="37" t="s">
        <v>1918</v>
      </c>
      <c r="D56" s="40" t="s">
        <v>1953</v>
      </c>
      <c r="E56" s="37" t="s">
        <v>1954</v>
      </c>
    </row>
    <row r="57">
      <c r="A57" s="37" t="s">
        <v>1217</v>
      </c>
      <c r="B57" s="37" t="s">
        <v>1216</v>
      </c>
      <c r="C57" s="37" t="s">
        <v>1932</v>
      </c>
      <c r="D57" s="37" t="s">
        <v>1955</v>
      </c>
      <c r="E57" s="37" t="s">
        <v>1955</v>
      </c>
    </row>
    <row r="58">
      <c r="A58" s="37" t="s">
        <v>1517</v>
      </c>
      <c r="B58" s="37" t="s">
        <v>1516</v>
      </c>
      <c r="C58" s="37" t="s">
        <v>1932</v>
      </c>
      <c r="D58" s="37" t="s">
        <v>1955</v>
      </c>
      <c r="E58" s="37" t="s">
        <v>1955</v>
      </c>
    </row>
    <row r="59">
      <c r="A59" s="37" t="s">
        <v>1662</v>
      </c>
      <c r="B59" s="37" t="s">
        <v>1660</v>
      </c>
      <c r="C59" s="37" t="s">
        <v>1932</v>
      </c>
      <c r="D59" s="40" t="s">
        <v>1955</v>
      </c>
      <c r="E59" s="37" t="s">
        <v>1955</v>
      </c>
    </row>
    <row r="60">
      <c r="A60" s="37" t="s">
        <v>1956</v>
      </c>
      <c r="B60" s="37" t="s">
        <v>1699</v>
      </c>
      <c r="C60" s="37" t="s">
        <v>1932</v>
      </c>
      <c r="D60" s="37" t="s">
        <v>1955</v>
      </c>
      <c r="E60" s="37" t="s">
        <v>1955</v>
      </c>
    </row>
    <row r="61">
      <c r="A61" s="37" t="s">
        <v>1715</v>
      </c>
      <c r="B61" s="37" t="s">
        <v>1714</v>
      </c>
      <c r="C61" s="37" t="s">
        <v>1932</v>
      </c>
      <c r="D61" s="37" t="s">
        <v>1955</v>
      </c>
      <c r="E61" s="37" t="s">
        <v>1955</v>
      </c>
    </row>
    <row r="62">
      <c r="A62" s="37" t="s">
        <v>1897</v>
      </c>
      <c r="B62" s="37" t="s">
        <v>1896</v>
      </c>
      <c r="C62" s="37" t="s">
        <v>1932</v>
      </c>
      <c r="D62" s="40" t="s">
        <v>1955</v>
      </c>
      <c r="E62" s="37" t="s">
        <v>1955</v>
      </c>
    </row>
    <row r="63">
      <c r="A63" s="37" t="s">
        <v>1171</v>
      </c>
      <c r="B63" s="37" t="s">
        <v>1169</v>
      </c>
      <c r="C63" s="37" t="s">
        <v>1692</v>
      </c>
      <c r="D63" s="40" t="s">
        <v>1957</v>
      </c>
      <c r="E63" s="37" t="s">
        <v>1957</v>
      </c>
    </row>
    <row r="64">
      <c r="A64" s="37" t="s">
        <v>1210</v>
      </c>
      <c r="B64" s="37" t="s">
        <v>1208</v>
      </c>
      <c r="C64" s="37" t="s">
        <v>1692</v>
      </c>
      <c r="D64" s="40" t="s">
        <v>1957</v>
      </c>
      <c r="E64" s="37" t="s">
        <v>1957</v>
      </c>
    </row>
    <row r="65">
      <c r="A65" s="37" t="s">
        <v>1385</v>
      </c>
      <c r="B65" s="37" t="s">
        <v>1384</v>
      </c>
      <c r="C65" s="37" t="s">
        <v>1692</v>
      </c>
      <c r="D65" s="37" t="s">
        <v>1957</v>
      </c>
      <c r="E65" s="37" t="s">
        <v>1957</v>
      </c>
    </row>
    <row r="66">
      <c r="A66" s="37" t="s">
        <v>1421</v>
      </c>
      <c r="B66" s="37" t="s">
        <v>1419</v>
      </c>
      <c r="C66" s="37" t="s">
        <v>1692</v>
      </c>
      <c r="D66" s="40" t="s">
        <v>1957</v>
      </c>
      <c r="E66" s="37" t="s">
        <v>1957</v>
      </c>
    </row>
    <row r="67">
      <c r="A67" s="37" t="s">
        <v>1428</v>
      </c>
      <c r="B67" s="37" t="s">
        <v>1427</v>
      </c>
      <c r="C67" s="37" t="s">
        <v>1692</v>
      </c>
      <c r="D67" s="37" t="s">
        <v>1957</v>
      </c>
      <c r="E67" s="37" t="s">
        <v>1957</v>
      </c>
    </row>
    <row r="68">
      <c r="A68" s="37" t="s">
        <v>1708</v>
      </c>
      <c r="B68" s="37" t="s">
        <v>1707</v>
      </c>
      <c r="C68" s="37" t="s">
        <v>1692</v>
      </c>
      <c r="D68" s="37" t="s">
        <v>1957</v>
      </c>
      <c r="E68" s="37" t="s">
        <v>1957</v>
      </c>
    </row>
    <row r="69">
      <c r="A69" s="37" t="s">
        <v>1883</v>
      </c>
      <c r="B69" s="37" t="s">
        <v>1882</v>
      </c>
      <c r="C69" s="37" t="s">
        <v>1932</v>
      </c>
      <c r="D69" s="37" t="s">
        <v>1958</v>
      </c>
      <c r="E69" s="37" t="s">
        <v>1958</v>
      </c>
    </row>
    <row r="70">
      <c r="A70" s="37" t="s">
        <v>1194</v>
      </c>
      <c r="B70" s="37" t="s">
        <v>1193</v>
      </c>
      <c r="C70" s="37" t="s">
        <v>1918</v>
      </c>
      <c r="D70" s="37" t="s">
        <v>1959</v>
      </c>
      <c r="E70" s="37" t="s">
        <v>1959</v>
      </c>
    </row>
    <row r="71">
      <c r="A71" s="37" t="s">
        <v>1305</v>
      </c>
      <c r="B71" s="37" t="s">
        <v>1304</v>
      </c>
      <c r="C71" s="37" t="s">
        <v>1692</v>
      </c>
      <c r="D71" s="37" t="s">
        <v>1960</v>
      </c>
      <c r="E71" s="37" t="s">
        <v>1960</v>
      </c>
    </row>
    <row r="72">
      <c r="A72" s="37" t="s">
        <v>1689</v>
      </c>
      <c r="B72" s="37" t="s">
        <v>1690</v>
      </c>
      <c r="C72" s="37" t="s">
        <v>1692</v>
      </c>
      <c r="D72" s="40" t="s">
        <v>1693</v>
      </c>
      <c r="E72" s="37" t="s">
        <v>1960</v>
      </c>
    </row>
    <row r="73">
      <c r="A73" s="37" t="s">
        <v>1312</v>
      </c>
      <c r="B73" s="37" t="s">
        <v>1311</v>
      </c>
      <c r="C73" s="37" t="s">
        <v>1932</v>
      </c>
      <c r="D73" s="40" t="s">
        <v>1944</v>
      </c>
      <c r="E73" s="37" t="s">
        <v>1961</v>
      </c>
    </row>
    <row r="74">
      <c r="A74" s="37" t="s">
        <v>1861</v>
      </c>
      <c r="B74" s="37" t="s">
        <v>1860</v>
      </c>
      <c r="C74" s="37" t="s">
        <v>1924</v>
      </c>
      <c r="D74" s="37" t="s">
        <v>1961</v>
      </c>
      <c r="E74" s="37" t="s">
        <v>1961</v>
      </c>
    </row>
    <row r="75">
      <c r="A75" s="37" t="s">
        <v>1236</v>
      </c>
      <c r="B75" s="37" t="s">
        <v>1230</v>
      </c>
      <c r="C75" s="37" t="s">
        <v>1672</v>
      </c>
      <c r="D75" s="37" t="s">
        <v>1962</v>
      </c>
      <c r="E75" s="37" t="s">
        <v>1962</v>
      </c>
    </row>
    <row r="76">
      <c r="A76" s="37" t="s">
        <v>1434</v>
      </c>
      <c r="B76" s="37" t="s">
        <v>1433</v>
      </c>
      <c r="C76" s="37" t="s">
        <v>1672</v>
      </c>
      <c r="D76" s="40" t="s">
        <v>1963</v>
      </c>
      <c r="E76" s="37" t="s">
        <v>1962</v>
      </c>
    </row>
    <row r="77">
      <c r="A77" s="37" t="s">
        <v>1463</v>
      </c>
      <c r="B77" s="37" t="s">
        <v>1462</v>
      </c>
      <c r="C77" s="37" t="s">
        <v>1672</v>
      </c>
      <c r="D77" s="37" t="s">
        <v>1962</v>
      </c>
      <c r="E77" s="37" t="s">
        <v>1962</v>
      </c>
    </row>
    <row r="78">
      <c r="A78" s="37" t="s">
        <v>1868</v>
      </c>
      <c r="B78" s="37" t="s">
        <v>1867</v>
      </c>
      <c r="C78" s="37" t="s">
        <v>1964</v>
      </c>
      <c r="D78" s="37" t="s">
        <v>1964</v>
      </c>
      <c r="E78" s="37" t="s">
        <v>1964</v>
      </c>
    </row>
    <row r="79">
      <c r="A79" s="37" t="s">
        <v>1283</v>
      </c>
      <c r="B79" s="37" t="s">
        <v>1281</v>
      </c>
      <c r="C79" s="37" t="s">
        <v>1964</v>
      </c>
      <c r="D79" s="40" t="s">
        <v>1964</v>
      </c>
      <c r="E79" s="37" t="s">
        <v>1965</v>
      </c>
    </row>
    <row r="80">
      <c r="A80" s="37" t="s">
        <v>1556</v>
      </c>
      <c r="B80" s="37" t="s">
        <v>1555</v>
      </c>
      <c r="C80" s="37" t="s">
        <v>1964</v>
      </c>
      <c r="D80" s="40" t="s">
        <v>1964</v>
      </c>
      <c r="E80" s="37" t="s">
        <v>1965</v>
      </c>
    </row>
    <row r="81">
      <c r="A81" s="37" t="s">
        <v>1767</v>
      </c>
      <c r="B81" s="37" t="s">
        <v>1766</v>
      </c>
      <c r="C81" s="37" t="s">
        <v>1964</v>
      </c>
      <c r="D81" s="37" t="s">
        <v>1965</v>
      </c>
      <c r="E81" s="37" t="s">
        <v>1965</v>
      </c>
    </row>
    <row r="82">
      <c r="A82" s="37" t="s">
        <v>1412</v>
      </c>
      <c r="B82" s="37" t="s">
        <v>1411</v>
      </c>
      <c r="C82" s="37" t="s">
        <v>1964</v>
      </c>
      <c r="D82" s="37" t="s">
        <v>1966</v>
      </c>
      <c r="E82" s="37" t="s">
        <v>1966</v>
      </c>
    </row>
    <row r="83">
      <c r="A83" s="37" t="s">
        <v>1905</v>
      </c>
      <c r="B83" s="37" t="s">
        <v>1904</v>
      </c>
      <c r="C83" s="37" t="s">
        <v>1967</v>
      </c>
      <c r="D83" s="37" t="s">
        <v>1968</v>
      </c>
      <c r="E83" s="37" t="s">
        <v>1968</v>
      </c>
    </row>
    <row r="84">
      <c r="A84" s="37" t="s">
        <v>1290</v>
      </c>
      <c r="B84" s="37" t="s">
        <v>1289</v>
      </c>
      <c r="C84" s="37" t="s">
        <v>1932</v>
      </c>
      <c r="D84" s="40" t="s">
        <v>1673</v>
      </c>
      <c r="E84" s="37" t="s">
        <v>1969</v>
      </c>
    </row>
    <row r="85">
      <c r="A85" s="37" t="s">
        <v>1549</v>
      </c>
      <c r="B85" s="37" t="s">
        <v>1547</v>
      </c>
      <c r="C85" s="37" t="s">
        <v>1932</v>
      </c>
      <c r="D85" s="40" t="s">
        <v>1673</v>
      </c>
      <c r="E85" s="37" t="s">
        <v>1969</v>
      </c>
    </row>
    <row r="86">
      <c r="A86" s="37" t="s">
        <v>1760</v>
      </c>
      <c r="B86" s="37" t="s">
        <v>1759</v>
      </c>
      <c r="C86" s="37" t="s">
        <v>1932</v>
      </c>
      <c r="D86" s="37" t="s">
        <v>1970</v>
      </c>
      <c r="E86" s="37" t="s">
        <v>1970</v>
      </c>
    </row>
    <row r="87">
      <c r="A87" s="37" t="s">
        <v>1201</v>
      </c>
      <c r="B87" s="37" t="s">
        <v>1200</v>
      </c>
      <c r="C87" s="37" t="s">
        <v>1932</v>
      </c>
      <c r="D87" s="37" t="s">
        <v>1971</v>
      </c>
      <c r="E87" s="37" t="s">
        <v>1971</v>
      </c>
    </row>
    <row r="88">
      <c r="A88" s="37" t="s">
        <v>1298</v>
      </c>
      <c r="B88" s="37" t="s">
        <v>1297</v>
      </c>
      <c r="C88" s="37" t="s">
        <v>1932</v>
      </c>
      <c r="D88" s="37" t="s">
        <v>1971</v>
      </c>
      <c r="E88" s="37" t="s">
        <v>1971</v>
      </c>
    </row>
    <row r="89">
      <c r="A89" s="37" t="s">
        <v>1343</v>
      </c>
      <c r="B89" s="37" t="s">
        <v>1342</v>
      </c>
      <c r="C89" s="37" t="s">
        <v>1967</v>
      </c>
      <c r="D89" s="37" t="s">
        <v>1971</v>
      </c>
      <c r="E89" s="37" t="s">
        <v>1971</v>
      </c>
    </row>
    <row r="90">
      <c r="A90" s="37" t="s">
        <v>1372</v>
      </c>
      <c r="B90" s="37" t="s">
        <v>1371</v>
      </c>
      <c r="C90" s="37" t="s">
        <v>1932</v>
      </c>
      <c r="D90" s="40" t="s">
        <v>1971</v>
      </c>
      <c r="E90" s="37" t="s">
        <v>1971</v>
      </c>
    </row>
    <row r="91">
      <c r="A91" s="37" t="s">
        <v>1392</v>
      </c>
      <c r="B91" s="37" t="s">
        <v>1391</v>
      </c>
      <c r="C91" s="37" t="s">
        <v>1932</v>
      </c>
      <c r="D91" s="37" t="s">
        <v>1971</v>
      </c>
      <c r="E91" s="37" t="s">
        <v>1971</v>
      </c>
    </row>
    <row r="92">
      <c r="A92" s="37" t="s">
        <v>1524</v>
      </c>
      <c r="B92" s="37" t="s">
        <v>1523</v>
      </c>
      <c r="C92" s="37" t="s">
        <v>1932</v>
      </c>
      <c r="D92" s="40" t="s">
        <v>1971</v>
      </c>
      <c r="E92" s="37" t="s">
        <v>1971</v>
      </c>
    </row>
    <row r="93">
      <c r="A93" s="37" t="s">
        <v>1738</v>
      </c>
      <c r="B93" s="37" t="s">
        <v>1737</v>
      </c>
      <c r="C93" s="37" t="s">
        <v>1932</v>
      </c>
      <c r="D93" s="37" t="s">
        <v>1971</v>
      </c>
      <c r="E93" s="37" t="s">
        <v>1971</v>
      </c>
    </row>
    <row r="94">
      <c r="A94" s="37" t="s">
        <v>1163</v>
      </c>
      <c r="B94" s="37" t="s">
        <v>1162</v>
      </c>
      <c r="C94" s="37" t="s">
        <v>1932</v>
      </c>
      <c r="D94" s="37" t="s">
        <v>1972</v>
      </c>
      <c r="E94" s="37" t="s">
        <v>1972</v>
      </c>
    </row>
    <row r="95">
      <c r="A95" s="37" t="s">
        <v>1253</v>
      </c>
      <c r="B95" s="37" t="s">
        <v>1252</v>
      </c>
      <c r="C95" s="37" t="s">
        <v>1973</v>
      </c>
      <c r="D95" s="37" t="s">
        <v>1973</v>
      </c>
      <c r="E95" s="37" t="s">
        <v>1973</v>
      </c>
    </row>
    <row r="96">
      <c r="A96" s="37" t="s">
        <v>1510</v>
      </c>
      <c r="B96" s="37" t="s">
        <v>1509</v>
      </c>
      <c r="C96" s="37" t="s">
        <v>1973</v>
      </c>
      <c r="D96" s="37" t="s">
        <v>1973</v>
      </c>
      <c r="E96" s="37" t="s">
        <v>1973</v>
      </c>
    </row>
    <row r="97">
      <c r="A97" s="37" t="s">
        <v>1442</v>
      </c>
      <c r="B97" s="37" t="s">
        <v>1441</v>
      </c>
      <c r="C97" s="37" t="s">
        <v>1932</v>
      </c>
      <c r="D97" s="37" t="s">
        <v>1974</v>
      </c>
      <c r="E97" s="37" t="s">
        <v>1974</v>
      </c>
    </row>
    <row r="98">
      <c r="A98" s="37" t="s">
        <v>1406</v>
      </c>
      <c r="B98" s="37" t="s">
        <v>1405</v>
      </c>
      <c r="C98" s="37" t="s">
        <v>1932</v>
      </c>
      <c r="D98" s="37" t="s">
        <v>1974</v>
      </c>
      <c r="E98" s="37" t="s">
        <v>1974</v>
      </c>
    </row>
    <row r="99">
      <c r="A99" s="37" t="s">
        <v>1494</v>
      </c>
      <c r="B99" s="37" t="s">
        <v>1493</v>
      </c>
      <c r="C99" s="37" t="s">
        <v>1967</v>
      </c>
      <c r="D99" s="40" t="s">
        <v>1975</v>
      </c>
      <c r="E99" s="37" t="s">
        <v>1974</v>
      </c>
    </row>
    <row r="100">
      <c r="A100" s="37" t="s">
        <v>1486</v>
      </c>
      <c r="B100" s="37" t="s">
        <v>1485</v>
      </c>
      <c r="C100" s="37" t="s">
        <v>1967</v>
      </c>
      <c r="D100" s="40" t="s">
        <v>1975</v>
      </c>
      <c r="E100" s="37" t="s">
        <v>1974</v>
      </c>
    </row>
    <row r="101">
      <c r="A101" s="37" t="s">
        <v>1336</v>
      </c>
      <c r="B101" s="37" t="s">
        <v>1335</v>
      </c>
      <c r="C101" s="37" t="s">
        <v>1916</v>
      </c>
      <c r="D101" s="37" t="s">
        <v>1930</v>
      </c>
      <c r="E101" s="37" t="s">
        <v>1930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2" max="2" width="50.5"/>
    <col customWidth="1" min="4" max="4" width="39.13"/>
    <col customWidth="1" min="5" max="5" width="17.88"/>
  </cols>
  <sheetData>
    <row r="1">
      <c r="A1" s="41" t="s">
        <v>0</v>
      </c>
      <c r="B1" s="41" t="s">
        <v>4</v>
      </c>
      <c r="C1" s="42" t="s">
        <v>1976</v>
      </c>
      <c r="D1" s="42" t="s">
        <v>1977</v>
      </c>
      <c r="E1" s="43"/>
    </row>
    <row r="2">
      <c r="A2" s="44" t="s">
        <v>94</v>
      </c>
      <c r="B2" s="45" t="s">
        <v>1978</v>
      </c>
      <c r="C2" s="46"/>
      <c r="D2" s="47" t="s">
        <v>1979</v>
      </c>
      <c r="E2" s="48" t="s">
        <v>1980</v>
      </c>
    </row>
    <row r="3">
      <c r="A3" s="44" t="s">
        <v>180</v>
      </c>
      <c r="B3" s="45" t="s">
        <v>1981</v>
      </c>
      <c r="C3" s="46"/>
      <c r="D3" s="47" t="s">
        <v>1982</v>
      </c>
      <c r="E3" s="49"/>
    </row>
    <row r="4">
      <c r="A4" s="44" t="s">
        <v>223</v>
      </c>
      <c r="B4" s="45" t="s">
        <v>1983</v>
      </c>
      <c r="C4" s="46"/>
      <c r="D4" s="47" t="s">
        <v>1984</v>
      </c>
      <c r="E4" s="49"/>
    </row>
    <row r="5">
      <c r="A5" s="44" t="s">
        <v>336</v>
      </c>
      <c r="B5" s="45" t="s">
        <v>1985</v>
      </c>
      <c r="C5" s="46"/>
      <c r="D5" s="47" t="s">
        <v>1986</v>
      </c>
      <c r="E5" s="49"/>
    </row>
    <row r="6">
      <c r="A6" s="44" t="s">
        <v>427</v>
      </c>
      <c r="B6" s="45" t="s">
        <v>1987</v>
      </c>
      <c r="C6" s="46"/>
      <c r="D6" s="47" t="s">
        <v>1988</v>
      </c>
      <c r="E6" s="49"/>
    </row>
    <row r="7">
      <c r="A7" s="44" t="s">
        <v>572</v>
      </c>
      <c r="B7" s="45" t="s">
        <v>1989</v>
      </c>
      <c r="C7" s="46"/>
      <c r="D7" s="47" t="s">
        <v>1990</v>
      </c>
      <c r="E7" s="49"/>
    </row>
    <row r="8">
      <c r="A8" s="44" t="s">
        <v>628</v>
      </c>
      <c r="B8" s="45" t="s">
        <v>1991</v>
      </c>
      <c r="C8" s="46"/>
      <c r="D8" s="47" t="s">
        <v>1992</v>
      </c>
      <c r="E8" s="49"/>
    </row>
    <row r="9">
      <c r="A9" s="44" t="s">
        <v>1058</v>
      </c>
      <c r="B9" s="45" t="s">
        <v>1993</v>
      </c>
      <c r="C9" s="46"/>
      <c r="D9" s="50" t="s">
        <v>1994</v>
      </c>
      <c r="E9" s="49"/>
    </row>
    <row r="10">
      <c r="A10" s="44" t="s">
        <v>67</v>
      </c>
      <c r="B10" s="45" t="s">
        <v>1995</v>
      </c>
      <c r="C10" s="46"/>
      <c r="D10" s="47" t="s">
        <v>1996</v>
      </c>
      <c r="E10" s="49"/>
    </row>
    <row r="11">
      <c r="A11" s="51" t="s">
        <v>1997</v>
      </c>
      <c r="B11" s="51" t="s">
        <v>1998</v>
      </c>
      <c r="C11" s="49"/>
      <c r="D11" s="49"/>
      <c r="E11" s="4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13"/>
    <col customWidth="1" min="3" max="3" width="48.75"/>
  </cols>
  <sheetData>
    <row r="1">
      <c r="A1" s="52" t="s">
        <v>1149</v>
      </c>
      <c r="B1" s="52" t="s">
        <v>1999</v>
      </c>
      <c r="C1" s="52" t="s">
        <v>2000</v>
      </c>
    </row>
    <row r="2">
      <c r="A2" s="53" t="s">
        <v>1072</v>
      </c>
      <c r="B2" s="54" t="s">
        <v>2001</v>
      </c>
      <c r="C2" s="55" t="s">
        <v>2002</v>
      </c>
    </row>
    <row r="3">
      <c r="A3" s="53" t="s">
        <v>1078</v>
      </c>
      <c r="B3" s="56" t="s">
        <v>2003</v>
      </c>
      <c r="C3" s="21" t="s">
        <v>2004</v>
      </c>
    </row>
    <row r="4">
      <c r="A4" s="53" t="s">
        <v>1082</v>
      </c>
      <c r="B4" s="56" t="s">
        <v>2005</v>
      </c>
      <c r="C4" s="21" t="s">
        <v>2006</v>
      </c>
    </row>
    <row r="5">
      <c r="A5" s="53" t="s">
        <v>1086</v>
      </c>
      <c r="B5" s="56" t="s">
        <v>2007</v>
      </c>
      <c r="C5" s="57" t="s">
        <v>2008</v>
      </c>
    </row>
    <row r="6">
      <c r="A6" s="53" t="s">
        <v>1090</v>
      </c>
      <c r="B6" s="56" t="s">
        <v>2009</v>
      </c>
      <c r="C6" s="21" t="s">
        <v>2010</v>
      </c>
    </row>
    <row r="7">
      <c r="A7" s="53" t="s">
        <v>1094</v>
      </c>
      <c r="B7" s="56" t="s">
        <v>2011</v>
      </c>
      <c r="C7" s="21" t="s">
        <v>2012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47.5"/>
    <col customWidth="1" min="3" max="3" width="26.13"/>
    <col customWidth="1" min="5" max="5" width="67.75"/>
    <col customWidth="1" min="6" max="6" width="32.5"/>
  </cols>
  <sheetData>
    <row r="1">
      <c r="A1" s="58" t="s">
        <v>0</v>
      </c>
      <c r="B1" s="59" t="s">
        <v>1</v>
      </c>
      <c r="C1" s="58" t="s">
        <v>2</v>
      </c>
      <c r="D1" s="58" t="s">
        <v>3</v>
      </c>
      <c r="E1" s="58" t="s">
        <v>4</v>
      </c>
      <c r="F1" s="58" t="s">
        <v>5</v>
      </c>
      <c r="G1" s="58" t="s">
        <v>6</v>
      </c>
    </row>
    <row r="2">
      <c r="A2" s="60" t="s">
        <v>7</v>
      </c>
      <c r="B2" s="61" t="s">
        <v>8</v>
      </c>
      <c r="C2" s="60" t="s">
        <v>9</v>
      </c>
      <c r="D2" s="60" t="s">
        <v>10</v>
      </c>
      <c r="E2" s="60" t="s">
        <v>11</v>
      </c>
      <c r="F2" s="60" t="s">
        <v>12</v>
      </c>
      <c r="G2" s="60" t="s">
        <v>13</v>
      </c>
    </row>
    <row r="3">
      <c r="A3" s="60" t="s">
        <v>7</v>
      </c>
      <c r="B3" s="61" t="s">
        <v>14</v>
      </c>
      <c r="C3" s="60" t="s">
        <v>15</v>
      </c>
      <c r="D3" s="60" t="s">
        <v>16</v>
      </c>
      <c r="E3" s="60" t="s">
        <v>17</v>
      </c>
      <c r="F3" s="60" t="s">
        <v>12</v>
      </c>
      <c r="G3" s="60" t="s">
        <v>13</v>
      </c>
    </row>
    <row r="4">
      <c r="A4" s="60" t="s">
        <v>7</v>
      </c>
      <c r="B4" s="61" t="s">
        <v>18</v>
      </c>
      <c r="C4" s="60" t="s">
        <v>19</v>
      </c>
      <c r="D4" s="60" t="s">
        <v>20</v>
      </c>
      <c r="E4" s="60" t="s">
        <v>21</v>
      </c>
      <c r="F4" s="60" t="s">
        <v>12</v>
      </c>
      <c r="G4" s="60" t="s">
        <v>13</v>
      </c>
    </row>
    <row r="5">
      <c r="A5" s="60" t="s">
        <v>7</v>
      </c>
      <c r="B5" s="61" t="s">
        <v>22</v>
      </c>
      <c r="C5" s="60" t="s">
        <v>23</v>
      </c>
      <c r="D5" s="60" t="s">
        <v>24</v>
      </c>
      <c r="E5" s="60" t="s">
        <v>25</v>
      </c>
      <c r="F5" s="60" t="s">
        <v>12</v>
      </c>
      <c r="G5" s="60" t="s">
        <v>13</v>
      </c>
    </row>
    <row r="6">
      <c r="A6" s="60" t="s">
        <v>7</v>
      </c>
      <c r="B6" s="61" t="s">
        <v>26</v>
      </c>
      <c r="C6" s="60" t="s">
        <v>27</v>
      </c>
      <c r="D6" s="60" t="s">
        <v>28</v>
      </c>
      <c r="E6" s="60" t="s">
        <v>29</v>
      </c>
      <c r="F6" s="60" t="s">
        <v>12</v>
      </c>
      <c r="G6" s="60" t="s">
        <v>13</v>
      </c>
    </row>
    <row r="7">
      <c r="A7" s="60" t="s">
        <v>7</v>
      </c>
      <c r="B7" s="61" t="s">
        <v>30</v>
      </c>
      <c r="C7" s="60" t="s">
        <v>31</v>
      </c>
      <c r="D7" s="60" t="s">
        <v>32</v>
      </c>
      <c r="E7" s="60" t="s">
        <v>33</v>
      </c>
      <c r="F7" s="60" t="s">
        <v>12</v>
      </c>
      <c r="G7" s="60" t="s">
        <v>13</v>
      </c>
    </row>
    <row r="8">
      <c r="A8" s="60" t="s">
        <v>7</v>
      </c>
      <c r="B8" s="61" t="s">
        <v>34</v>
      </c>
      <c r="C8" s="60" t="s">
        <v>35</v>
      </c>
      <c r="D8" s="60" t="s">
        <v>36</v>
      </c>
      <c r="E8" s="60" t="s">
        <v>37</v>
      </c>
      <c r="F8" s="60" t="s">
        <v>12</v>
      </c>
      <c r="G8" s="60" t="s">
        <v>13</v>
      </c>
    </row>
    <row r="9">
      <c r="A9" s="60" t="s">
        <v>7</v>
      </c>
      <c r="B9" s="61" t="s">
        <v>38</v>
      </c>
      <c r="C9" s="60" t="s">
        <v>39</v>
      </c>
      <c r="D9" s="60" t="s">
        <v>40</v>
      </c>
      <c r="E9" s="60" t="s">
        <v>41</v>
      </c>
      <c r="F9" s="60" t="s">
        <v>12</v>
      </c>
      <c r="G9" s="60" t="s">
        <v>13</v>
      </c>
    </row>
    <row r="10">
      <c r="A10" s="60" t="s">
        <v>7</v>
      </c>
      <c r="B10" s="61" t="s">
        <v>42</v>
      </c>
      <c r="C10" s="60" t="s">
        <v>43</v>
      </c>
      <c r="D10" s="60" t="s">
        <v>44</v>
      </c>
      <c r="E10" s="60" t="s">
        <v>45</v>
      </c>
      <c r="F10" s="60" t="s">
        <v>46</v>
      </c>
      <c r="G10" s="60" t="s">
        <v>13</v>
      </c>
    </row>
    <row r="11">
      <c r="A11" s="60" t="s">
        <v>7</v>
      </c>
      <c r="B11" s="61" t="s">
        <v>47</v>
      </c>
      <c r="C11" s="60" t="s">
        <v>48</v>
      </c>
      <c r="D11" s="60" t="s">
        <v>49</v>
      </c>
      <c r="E11" s="60" t="s">
        <v>50</v>
      </c>
      <c r="F11" s="60" t="s">
        <v>46</v>
      </c>
      <c r="G11" s="60" t="s">
        <v>13</v>
      </c>
    </row>
    <row r="12">
      <c r="A12" s="60" t="s">
        <v>7</v>
      </c>
      <c r="B12" s="61" t="s">
        <v>51</v>
      </c>
      <c r="C12" s="60" t="s">
        <v>52</v>
      </c>
      <c r="D12" s="60" t="s">
        <v>53</v>
      </c>
      <c r="E12" s="60" t="s">
        <v>54</v>
      </c>
      <c r="F12" s="60" t="s">
        <v>46</v>
      </c>
      <c r="G12" s="60" t="s">
        <v>13</v>
      </c>
    </row>
    <row r="13">
      <c r="A13" s="60" t="s">
        <v>7</v>
      </c>
      <c r="B13" s="61" t="s">
        <v>55</v>
      </c>
      <c r="C13" s="60" t="s">
        <v>56</v>
      </c>
      <c r="D13" s="60" t="s">
        <v>57</v>
      </c>
      <c r="E13" s="60" t="s">
        <v>58</v>
      </c>
      <c r="F13" s="60" t="s">
        <v>46</v>
      </c>
      <c r="G13" s="60" t="s">
        <v>13</v>
      </c>
    </row>
    <row r="14">
      <c r="A14" s="60" t="s">
        <v>7</v>
      </c>
      <c r="B14" s="61" t="s">
        <v>59</v>
      </c>
      <c r="C14" s="60" t="s">
        <v>60</v>
      </c>
      <c r="D14" s="60" t="s">
        <v>61</v>
      </c>
      <c r="E14" s="60" t="s">
        <v>62</v>
      </c>
      <c r="F14" s="60" t="s">
        <v>46</v>
      </c>
      <c r="G14" s="60" t="s">
        <v>13</v>
      </c>
    </row>
    <row r="15">
      <c r="A15" s="60" t="s">
        <v>7</v>
      </c>
      <c r="B15" s="61" t="s">
        <v>63</v>
      </c>
      <c r="C15" s="60" t="s">
        <v>64</v>
      </c>
      <c r="D15" s="60" t="s">
        <v>65</v>
      </c>
      <c r="E15" s="60" t="s">
        <v>66</v>
      </c>
      <c r="F15" s="60" t="s">
        <v>46</v>
      </c>
      <c r="G15" s="60" t="s">
        <v>13</v>
      </c>
    </row>
    <row r="16">
      <c r="A16" s="60" t="s">
        <v>67</v>
      </c>
      <c r="B16" s="61" t="s">
        <v>68</v>
      </c>
      <c r="C16" s="60" t="s">
        <v>69</v>
      </c>
      <c r="D16" s="60" t="s">
        <v>70</v>
      </c>
      <c r="E16" s="60" t="s">
        <v>71</v>
      </c>
      <c r="F16" s="60" t="s">
        <v>72</v>
      </c>
      <c r="G16" s="60" t="s">
        <v>73</v>
      </c>
    </row>
    <row r="17">
      <c r="A17" s="60" t="s">
        <v>67</v>
      </c>
      <c r="B17" s="61" t="s">
        <v>74</v>
      </c>
      <c r="C17" s="60" t="s">
        <v>75</v>
      </c>
      <c r="D17" s="60" t="s">
        <v>76</v>
      </c>
      <c r="E17" s="60" t="s">
        <v>77</v>
      </c>
      <c r="F17" s="60" t="s">
        <v>72</v>
      </c>
      <c r="G17" s="60" t="s">
        <v>78</v>
      </c>
    </row>
    <row r="18">
      <c r="A18" s="60" t="s">
        <v>67</v>
      </c>
      <c r="B18" s="61" t="s">
        <v>79</v>
      </c>
      <c r="C18" s="60" t="s">
        <v>80</v>
      </c>
      <c r="D18" s="60" t="s">
        <v>81</v>
      </c>
      <c r="E18" s="60" t="s">
        <v>82</v>
      </c>
      <c r="F18" s="60" t="s">
        <v>72</v>
      </c>
      <c r="G18" s="60" t="s">
        <v>83</v>
      </c>
    </row>
    <row r="19">
      <c r="A19" s="60" t="s">
        <v>67</v>
      </c>
      <c r="B19" s="61" t="s">
        <v>84</v>
      </c>
      <c r="C19" s="60" t="s">
        <v>85</v>
      </c>
      <c r="D19" s="60" t="s">
        <v>86</v>
      </c>
      <c r="E19" s="60" t="s">
        <v>87</v>
      </c>
      <c r="F19" s="60" t="s">
        <v>72</v>
      </c>
      <c r="G19" s="60" t="s">
        <v>88</v>
      </c>
    </row>
    <row r="20">
      <c r="A20" s="60" t="s">
        <v>67</v>
      </c>
      <c r="B20" s="61" t="s">
        <v>89</v>
      </c>
      <c r="C20" s="60" t="s">
        <v>90</v>
      </c>
      <c r="D20" s="60" t="s">
        <v>91</v>
      </c>
      <c r="E20" s="60" t="s">
        <v>92</v>
      </c>
      <c r="F20" s="60" t="s">
        <v>72</v>
      </c>
      <c r="G20" s="60" t="s">
        <v>93</v>
      </c>
    </row>
    <row r="21">
      <c r="A21" s="60" t="s">
        <v>94</v>
      </c>
      <c r="B21" s="61" t="s">
        <v>95</v>
      </c>
      <c r="C21" s="60" t="s">
        <v>96</v>
      </c>
      <c r="D21" s="60" t="s">
        <v>97</v>
      </c>
      <c r="E21" s="60" t="s">
        <v>98</v>
      </c>
      <c r="F21" s="60" t="s">
        <v>72</v>
      </c>
      <c r="G21" s="60" t="s">
        <v>99</v>
      </c>
    </row>
    <row r="22">
      <c r="A22" s="60" t="s">
        <v>94</v>
      </c>
      <c r="B22" s="61" t="s">
        <v>100</v>
      </c>
      <c r="C22" s="60" t="s">
        <v>101</v>
      </c>
      <c r="D22" s="60" t="s">
        <v>102</v>
      </c>
      <c r="E22" s="60" t="s">
        <v>103</v>
      </c>
      <c r="F22" s="62" t="s">
        <v>104</v>
      </c>
      <c r="G22" s="60" t="s">
        <v>105</v>
      </c>
    </row>
    <row r="23">
      <c r="A23" s="60" t="s">
        <v>94</v>
      </c>
      <c r="B23" s="61" t="s">
        <v>106</v>
      </c>
      <c r="C23" s="60" t="s">
        <v>107</v>
      </c>
      <c r="D23" s="60" t="s">
        <v>108</v>
      </c>
      <c r="E23" s="60" t="s">
        <v>109</v>
      </c>
      <c r="F23" s="60" t="s">
        <v>72</v>
      </c>
      <c r="G23" s="60" t="s">
        <v>110</v>
      </c>
    </row>
    <row r="24">
      <c r="A24" s="60" t="s">
        <v>94</v>
      </c>
      <c r="B24" s="61" t="s">
        <v>111</v>
      </c>
      <c r="C24" s="60" t="s">
        <v>112</v>
      </c>
      <c r="D24" s="60" t="s">
        <v>113</v>
      </c>
      <c r="E24" s="60" t="s">
        <v>114</v>
      </c>
      <c r="F24" s="60" t="s">
        <v>72</v>
      </c>
      <c r="G24" s="60" t="s">
        <v>110</v>
      </c>
    </row>
    <row r="25">
      <c r="A25" s="60" t="s">
        <v>94</v>
      </c>
      <c r="B25" s="61" t="s">
        <v>115</v>
      </c>
      <c r="C25" s="60" t="s">
        <v>116</v>
      </c>
      <c r="D25" s="60" t="s">
        <v>117</v>
      </c>
      <c r="E25" s="60" t="s">
        <v>118</v>
      </c>
      <c r="F25" s="60" t="s">
        <v>119</v>
      </c>
      <c r="G25" s="60" t="s">
        <v>120</v>
      </c>
    </row>
    <row r="26">
      <c r="A26" s="60" t="s">
        <v>94</v>
      </c>
      <c r="B26" s="61" t="s">
        <v>121</v>
      </c>
      <c r="C26" s="60" t="s">
        <v>122</v>
      </c>
      <c r="D26" s="60" t="s">
        <v>123</v>
      </c>
      <c r="E26" s="60" t="s">
        <v>124</v>
      </c>
      <c r="F26" s="60" t="s">
        <v>72</v>
      </c>
      <c r="G26" s="60" t="s">
        <v>125</v>
      </c>
    </row>
    <row r="27">
      <c r="A27" s="60" t="s">
        <v>94</v>
      </c>
      <c r="B27" s="61" t="s">
        <v>126</v>
      </c>
      <c r="C27" s="60" t="s">
        <v>127</v>
      </c>
      <c r="D27" s="60" t="s">
        <v>128</v>
      </c>
      <c r="E27" s="60" t="s">
        <v>129</v>
      </c>
      <c r="F27" s="60" t="s">
        <v>72</v>
      </c>
      <c r="G27" s="60" t="s">
        <v>130</v>
      </c>
    </row>
    <row r="28">
      <c r="A28" s="60" t="s">
        <v>94</v>
      </c>
      <c r="B28" s="61" t="s">
        <v>131</v>
      </c>
      <c r="C28" s="60" t="s">
        <v>132</v>
      </c>
      <c r="D28" s="60" t="s">
        <v>133</v>
      </c>
      <c r="E28" s="60" t="s">
        <v>134</v>
      </c>
      <c r="F28" s="60" t="s">
        <v>72</v>
      </c>
      <c r="G28" s="60" t="s">
        <v>135</v>
      </c>
    </row>
    <row r="29">
      <c r="A29" s="60" t="s">
        <v>94</v>
      </c>
      <c r="B29" s="61" t="s">
        <v>136</v>
      </c>
      <c r="C29" s="60" t="s">
        <v>137</v>
      </c>
      <c r="D29" s="60" t="s">
        <v>138</v>
      </c>
      <c r="E29" s="60" t="s">
        <v>139</v>
      </c>
      <c r="F29" s="60" t="s">
        <v>72</v>
      </c>
      <c r="G29" s="60" t="s">
        <v>140</v>
      </c>
    </row>
    <row r="30">
      <c r="A30" s="60" t="s">
        <v>94</v>
      </c>
      <c r="B30" s="61" t="s">
        <v>141</v>
      </c>
      <c r="C30" s="60" t="s">
        <v>142</v>
      </c>
      <c r="D30" s="60" t="s">
        <v>143</v>
      </c>
      <c r="E30" s="60" t="s">
        <v>144</v>
      </c>
      <c r="F30" s="60" t="s">
        <v>72</v>
      </c>
      <c r="G30" s="60" t="s">
        <v>145</v>
      </c>
    </row>
    <row r="31">
      <c r="A31" s="60" t="s">
        <v>94</v>
      </c>
      <c r="B31" s="61" t="s">
        <v>146</v>
      </c>
      <c r="C31" s="60" t="s">
        <v>147</v>
      </c>
      <c r="D31" s="60" t="s">
        <v>148</v>
      </c>
      <c r="E31" s="60" t="s">
        <v>149</v>
      </c>
      <c r="F31" s="60" t="s">
        <v>12</v>
      </c>
      <c r="G31" s="60" t="s">
        <v>110</v>
      </c>
    </row>
    <row r="32">
      <c r="A32" s="60" t="s">
        <v>94</v>
      </c>
      <c r="B32" s="61" t="s">
        <v>150</v>
      </c>
      <c r="C32" s="60" t="s">
        <v>151</v>
      </c>
      <c r="D32" s="60" t="s">
        <v>152</v>
      </c>
      <c r="E32" s="60" t="s">
        <v>153</v>
      </c>
      <c r="F32" s="60" t="s">
        <v>46</v>
      </c>
      <c r="G32" s="60" t="s">
        <v>110</v>
      </c>
    </row>
    <row r="33">
      <c r="A33" s="60" t="s">
        <v>94</v>
      </c>
      <c r="B33" s="61" t="s">
        <v>154</v>
      </c>
      <c r="C33" s="60" t="s">
        <v>155</v>
      </c>
      <c r="D33" s="60" t="s">
        <v>156</v>
      </c>
      <c r="E33" s="60" t="s">
        <v>157</v>
      </c>
      <c r="F33" s="60" t="s">
        <v>12</v>
      </c>
      <c r="G33" s="60" t="s">
        <v>110</v>
      </c>
    </row>
    <row r="34">
      <c r="A34" s="60" t="s">
        <v>94</v>
      </c>
      <c r="B34" s="61" t="s">
        <v>158</v>
      </c>
      <c r="C34" s="60" t="s">
        <v>159</v>
      </c>
      <c r="D34" s="60" t="s">
        <v>160</v>
      </c>
      <c r="E34" s="60" t="s">
        <v>161</v>
      </c>
      <c r="F34" s="60" t="s">
        <v>46</v>
      </c>
      <c r="G34" s="60" t="s">
        <v>110</v>
      </c>
    </row>
    <row r="35">
      <c r="A35" s="60" t="s">
        <v>94</v>
      </c>
      <c r="B35" s="61" t="s">
        <v>162</v>
      </c>
      <c r="C35" s="60" t="s">
        <v>163</v>
      </c>
      <c r="D35" s="60" t="s">
        <v>164</v>
      </c>
      <c r="E35" s="60" t="s">
        <v>165</v>
      </c>
      <c r="F35" s="60" t="s">
        <v>12</v>
      </c>
      <c r="G35" s="60" t="s">
        <v>110</v>
      </c>
    </row>
    <row r="36">
      <c r="A36" s="60" t="s">
        <v>94</v>
      </c>
      <c r="B36" s="61" t="s">
        <v>166</v>
      </c>
      <c r="C36" s="60" t="s">
        <v>167</v>
      </c>
      <c r="D36" s="60" t="s">
        <v>168</v>
      </c>
      <c r="E36" s="60" t="s">
        <v>169</v>
      </c>
      <c r="F36" s="60" t="s">
        <v>46</v>
      </c>
      <c r="G36" s="60" t="s">
        <v>110</v>
      </c>
    </row>
    <row r="37">
      <c r="A37" s="60" t="s">
        <v>94</v>
      </c>
      <c r="B37" s="61" t="s">
        <v>170</v>
      </c>
      <c r="C37" s="60" t="s">
        <v>171</v>
      </c>
      <c r="D37" s="60" t="s">
        <v>172</v>
      </c>
      <c r="E37" s="60" t="s">
        <v>173</v>
      </c>
      <c r="F37" s="60" t="s">
        <v>174</v>
      </c>
      <c r="G37" s="60" t="s">
        <v>105</v>
      </c>
    </row>
    <row r="38">
      <c r="A38" s="60" t="s">
        <v>94</v>
      </c>
      <c r="B38" s="61" t="s">
        <v>175</v>
      </c>
      <c r="C38" s="60" t="s">
        <v>176</v>
      </c>
      <c r="D38" s="60" t="s">
        <v>177</v>
      </c>
      <c r="E38" s="60" t="s">
        <v>178</v>
      </c>
      <c r="F38" s="60" t="s">
        <v>179</v>
      </c>
      <c r="G38" s="60" t="s">
        <v>105</v>
      </c>
    </row>
    <row r="39">
      <c r="A39" s="60" t="s">
        <v>180</v>
      </c>
      <c r="B39" s="61" t="s">
        <v>181</v>
      </c>
      <c r="C39" s="60" t="s">
        <v>182</v>
      </c>
      <c r="D39" s="60" t="s">
        <v>183</v>
      </c>
      <c r="E39" s="60" t="s">
        <v>184</v>
      </c>
      <c r="F39" s="60" t="s">
        <v>185</v>
      </c>
      <c r="G39" s="60" t="s">
        <v>110</v>
      </c>
    </row>
    <row r="40">
      <c r="A40" s="60" t="s">
        <v>180</v>
      </c>
      <c r="B40" s="61" t="s">
        <v>186</v>
      </c>
      <c r="C40" s="60" t="s">
        <v>187</v>
      </c>
      <c r="D40" s="60" t="s">
        <v>188</v>
      </c>
      <c r="E40" s="60" t="s">
        <v>189</v>
      </c>
      <c r="F40" s="60" t="s">
        <v>72</v>
      </c>
      <c r="G40" s="60" t="s">
        <v>110</v>
      </c>
    </row>
    <row r="41">
      <c r="A41" s="60" t="s">
        <v>180</v>
      </c>
      <c r="B41" s="61" t="s">
        <v>190</v>
      </c>
      <c r="C41" s="60" t="s">
        <v>191</v>
      </c>
      <c r="D41" s="60" t="s">
        <v>192</v>
      </c>
      <c r="E41" s="60" t="s">
        <v>193</v>
      </c>
      <c r="F41" s="60" t="s">
        <v>12</v>
      </c>
      <c r="G41" s="60" t="s">
        <v>110</v>
      </c>
    </row>
    <row r="42">
      <c r="A42" s="60" t="s">
        <v>180</v>
      </c>
      <c r="B42" s="61" t="s">
        <v>194</v>
      </c>
      <c r="C42" s="60" t="s">
        <v>195</v>
      </c>
      <c r="D42" s="60" t="s">
        <v>196</v>
      </c>
      <c r="E42" s="60" t="s">
        <v>197</v>
      </c>
      <c r="F42" s="60" t="s">
        <v>46</v>
      </c>
      <c r="G42" s="60" t="s">
        <v>110</v>
      </c>
    </row>
    <row r="43">
      <c r="A43" s="60" t="s">
        <v>180</v>
      </c>
      <c r="B43" s="61" t="s">
        <v>198</v>
      </c>
      <c r="C43" s="60" t="s">
        <v>199</v>
      </c>
      <c r="D43" s="60" t="s">
        <v>200</v>
      </c>
      <c r="E43" s="60" t="s">
        <v>201</v>
      </c>
      <c r="F43" s="60" t="s">
        <v>12</v>
      </c>
      <c r="G43" s="60" t="s">
        <v>110</v>
      </c>
    </row>
    <row r="44">
      <c r="A44" s="60" t="s">
        <v>180</v>
      </c>
      <c r="B44" s="61" t="s">
        <v>202</v>
      </c>
      <c r="C44" s="60" t="s">
        <v>203</v>
      </c>
      <c r="D44" s="60" t="s">
        <v>204</v>
      </c>
      <c r="E44" s="60" t="s">
        <v>205</v>
      </c>
      <c r="F44" s="60" t="s">
        <v>46</v>
      </c>
      <c r="G44" s="60" t="s">
        <v>110</v>
      </c>
    </row>
    <row r="45">
      <c r="A45" s="60" t="s">
        <v>180</v>
      </c>
      <c r="B45" s="61" t="s">
        <v>206</v>
      </c>
      <c r="C45" s="60" t="s">
        <v>207</v>
      </c>
      <c r="D45" s="60" t="s">
        <v>208</v>
      </c>
      <c r="E45" s="60" t="s">
        <v>209</v>
      </c>
      <c r="F45" s="60" t="s">
        <v>210</v>
      </c>
      <c r="G45" s="60" t="s">
        <v>110</v>
      </c>
    </row>
    <row r="46">
      <c r="A46" s="60" t="s">
        <v>180</v>
      </c>
      <c r="B46" s="61" t="s">
        <v>211</v>
      </c>
      <c r="C46" s="60" t="s">
        <v>212</v>
      </c>
      <c r="D46" s="60" t="s">
        <v>213</v>
      </c>
      <c r="E46" s="60" t="s">
        <v>214</v>
      </c>
      <c r="F46" s="60" t="s">
        <v>46</v>
      </c>
      <c r="G46" s="60" t="s">
        <v>110</v>
      </c>
    </row>
    <row r="47">
      <c r="A47" s="60" t="s">
        <v>180</v>
      </c>
      <c r="B47" s="61" t="s">
        <v>215</v>
      </c>
      <c r="C47" s="60" t="s">
        <v>216</v>
      </c>
      <c r="D47" s="60" t="s">
        <v>217</v>
      </c>
      <c r="E47" s="60" t="s">
        <v>218</v>
      </c>
      <c r="F47" s="60" t="s">
        <v>46</v>
      </c>
      <c r="G47" s="60" t="s">
        <v>110</v>
      </c>
    </row>
    <row r="48">
      <c r="A48" s="60" t="s">
        <v>180</v>
      </c>
      <c r="B48" s="61" t="s">
        <v>219</v>
      </c>
      <c r="C48" s="60" t="s">
        <v>220</v>
      </c>
      <c r="D48" s="60" t="s">
        <v>221</v>
      </c>
      <c r="E48" s="60" t="s">
        <v>222</v>
      </c>
      <c r="F48" s="60" t="s">
        <v>12</v>
      </c>
      <c r="G48" s="60" t="s">
        <v>110</v>
      </c>
    </row>
    <row r="49">
      <c r="A49" s="60" t="s">
        <v>223</v>
      </c>
      <c r="B49" s="61" t="s">
        <v>224</v>
      </c>
      <c r="C49" s="60" t="s">
        <v>225</v>
      </c>
      <c r="D49" s="60" t="s">
        <v>226</v>
      </c>
      <c r="E49" s="60" t="s">
        <v>227</v>
      </c>
      <c r="F49" s="60" t="s">
        <v>46</v>
      </c>
      <c r="G49" s="60" t="s">
        <v>228</v>
      </c>
    </row>
    <row r="50">
      <c r="A50" s="60" t="s">
        <v>223</v>
      </c>
      <c r="B50" s="61" t="s">
        <v>229</v>
      </c>
      <c r="C50" s="60" t="s">
        <v>230</v>
      </c>
      <c r="D50" s="60" t="s">
        <v>231</v>
      </c>
      <c r="E50" s="60" t="s">
        <v>232</v>
      </c>
      <c r="F50" s="60" t="s">
        <v>46</v>
      </c>
      <c r="G50" s="60" t="s">
        <v>228</v>
      </c>
    </row>
    <row r="51">
      <c r="A51" s="60" t="s">
        <v>223</v>
      </c>
      <c r="B51" s="61" t="s">
        <v>233</v>
      </c>
      <c r="C51" s="60" t="s">
        <v>234</v>
      </c>
      <c r="D51" s="60" t="s">
        <v>235</v>
      </c>
      <c r="E51" s="60" t="s">
        <v>236</v>
      </c>
      <c r="F51" s="60" t="s">
        <v>46</v>
      </c>
      <c r="G51" s="60" t="s">
        <v>228</v>
      </c>
    </row>
    <row r="52">
      <c r="A52" s="60" t="s">
        <v>223</v>
      </c>
      <c r="B52" s="61" t="s">
        <v>237</v>
      </c>
      <c r="C52" s="60" t="s">
        <v>238</v>
      </c>
      <c r="D52" s="60" t="s">
        <v>239</v>
      </c>
      <c r="E52" s="60" t="s">
        <v>240</v>
      </c>
      <c r="F52" s="60" t="s">
        <v>241</v>
      </c>
      <c r="G52" s="60" t="s">
        <v>242</v>
      </c>
    </row>
    <row r="53">
      <c r="A53" s="60" t="s">
        <v>223</v>
      </c>
      <c r="B53" s="61" t="s">
        <v>243</v>
      </c>
      <c r="C53" s="60" t="s">
        <v>244</v>
      </c>
      <c r="D53" s="60" t="s">
        <v>245</v>
      </c>
      <c r="E53" s="60" t="s">
        <v>246</v>
      </c>
      <c r="F53" s="60" t="s">
        <v>241</v>
      </c>
      <c r="G53" s="60" t="s">
        <v>242</v>
      </c>
    </row>
    <row r="54">
      <c r="A54" s="60" t="s">
        <v>223</v>
      </c>
      <c r="B54" s="61" t="s">
        <v>247</v>
      </c>
      <c r="C54" s="60" t="s">
        <v>248</v>
      </c>
      <c r="D54" s="60" t="s">
        <v>249</v>
      </c>
      <c r="E54" s="60" t="s">
        <v>250</v>
      </c>
      <c r="F54" s="60" t="s">
        <v>46</v>
      </c>
      <c r="G54" s="60" t="s">
        <v>251</v>
      </c>
    </row>
    <row r="55">
      <c r="A55" s="60" t="s">
        <v>223</v>
      </c>
      <c r="B55" s="61" t="s">
        <v>252</v>
      </c>
      <c r="C55" s="60" t="s">
        <v>253</v>
      </c>
      <c r="D55" s="60" t="s">
        <v>254</v>
      </c>
      <c r="E55" s="60" t="s">
        <v>255</v>
      </c>
      <c r="F55" s="60" t="s">
        <v>46</v>
      </c>
      <c r="G55" s="60" t="s">
        <v>251</v>
      </c>
    </row>
    <row r="56">
      <c r="A56" s="60" t="s">
        <v>223</v>
      </c>
      <c r="B56" s="61" t="s">
        <v>256</v>
      </c>
      <c r="C56" s="60" t="s">
        <v>257</v>
      </c>
      <c r="D56" s="60" t="s">
        <v>258</v>
      </c>
      <c r="E56" s="60" t="s">
        <v>259</v>
      </c>
      <c r="F56" s="60" t="s">
        <v>46</v>
      </c>
      <c r="G56" s="60" t="s">
        <v>251</v>
      </c>
    </row>
    <row r="57">
      <c r="A57" s="60" t="s">
        <v>223</v>
      </c>
      <c r="B57" s="61" t="s">
        <v>260</v>
      </c>
      <c r="C57" s="60" t="s">
        <v>261</v>
      </c>
      <c r="D57" s="60" t="s">
        <v>262</v>
      </c>
      <c r="E57" s="60" t="s">
        <v>263</v>
      </c>
      <c r="F57" s="60" t="s">
        <v>46</v>
      </c>
      <c r="G57" s="60" t="s">
        <v>110</v>
      </c>
    </row>
    <row r="58">
      <c r="A58" s="60" t="s">
        <v>223</v>
      </c>
      <c r="B58" s="61" t="s">
        <v>264</v>
      </c>
      <c r="C58" s="60" t="s">
        <v>265</v>
      </c>
      <c r="D58" s="60" t="s">
        <v>266</v>
      </c>
      <c r="E58" s="60" t="s">
        <v>267</v>
      </c>
      <c r="F58" s="60" t="s">
        <v>72</v>
      </c>
      <c r="G58" s="60" t="s">
        <v>268</v>
      </c>
    </row>
    <row r="59">
      <c r="A59" s="60" t="s">
        <v>223</v>
      </c>
      <c r="B59" s="61" t="s">
        <v>269</v>
      </c>
      <c r="C59" s="60" t="s">
        <v>270</v>
      </c>
      <c r="D59" s="60" t="s">
        <v>271</v>
      </c>
      <c r="E59" s="60" t="s">
        <v>272</v>
      </c>
      <c r="F59" s="60" t="s">
        <v>273</v>
      </c>
      <c r="G59" s="60" t="s">
        <v>268</v>
      </c>
    </row>
    <row r="60">
      <c r="A60" s="60" t="s">
        <v>223</v>
      </c>
      <c r="B60" s="61" t="s">
        <v>274</v>
      </c>
      <c r="C60" s="60" t="s">
        <v>275</v>
      </c>
      <c r="D60" s="60" t="s">
        <v>276</v>
      </c>
      <c r="E60" s="60" t="s">
        <v>277</v>
      </c>
      <c r="F60" s="60" t="s">
        <v>46</v>
      </c>
      <c r="G60" s="60" t="s">
        <v>110</v>
      </c>
    </row>
    <row r="61">
      <c r="A61" s="60" t="s">
        <v>223</v>
      </c>
      <c r="B61" s="61" t="s">
        <v>278</v>
      </c>
      <c r="C61" s="60" t="s">
        <v>279</v>
      </c>
      <c r="D61" s="60" t="s">
        <v>280</v>
      </c>
      <c r="E61" s="60" t="s">
        <v>281</v>
      </c>
      <c r="F61" s="60" t="s">
        <v>46</v>
      </c>
      <c r="G61" s="60" t="s">
        <v>110</v>
      </c>
    </row>
    <row r="62">
      <c r="A62" s="60" t="s">
        <v>223</v>
      </c>
      <c r="B62" s="61" t="s">
        <v>282</v>
      </c>
      <c r="C62" s="60" t="s">
        <v>283</v>
      </c>
      <c r="D62" s="60" t="s">
        <v>284</v>
      </c>
      <c r="E62" s="60" t="s">
        <v>285</v>
      </c>
      <c r="F62" s="60" t="s">
        <v>46</v>
      </c>
      <c r="G62" s="60" t="s">
        <v>110</v>
      </c>
    </row>
    <row r="63">
      <c r="A63" s="60" t="s">
        <v>223</v>
      </c>
      <c r="B63" s="61" t="s">
        <v>286</v>
      </c>
      <c r="C63" s="60" t="s">
        <v>287</v>
      </c>
      <c r="D63" s="60" t="s">
        <v>288</v>
      </c>
      <c r="E63" s="60" t="s">
        <v>289</v>
      </c>
      <c r="F63" s="60" t="s">
        <v>46</v>
      </c>
      <c r="G63" s="60" t="s">
        <v>110</v>
      </c>
    </row>
    <row r="64">
      <c r="A64" s="60" t="s">
        <v>223</v>
      </c>
      <c r="B64" s="61" t="s">
        <v>290</v>
      </c>
      <c r="C64" s="60" t="s">
        <v>291</v>
      </c>
      <c r="D64" s="60" t="s">
        <v>292</v>
      </c>
      <c r="E64" s="60" t="s">
        <v>293</v>
      </c>
      <c r="F64" s="60" t="s">
        <v>46</v>
      </c>
      <c r="G64" s="60" t="s">
        <v>110</v>
      </c>
    </row>
    <row r="65">
      <c r="A65" s="60" t="s">
        <v>223</v>
      </c>
      <c r="B65" s="61" t="s">
        <v>294</v>
      </c>
      <c r="C65" s="60" t="s">
        <v>295</v>
      </c>
      <c r="D65" s="60" t="s">
        <v>296</v>
      </c>
      <c r="E65" s="60" t="s">
        <v>297</v>
      </c>
      <c r="F65" s="60" t="s">
        <v>46</v>
      </c>
      <c r="G65" s="60" t="s">
        <v>110</v>
      </c>
    </row>
    <row r="66">
      <c r="A66" s="60" t="s">
        <v>223</v>
      </c>
      <c r="B66" s="61" t="s">
        <v>298</v>
      </c>
      <c r="C66" s="60" t="s">
        <v>299</v>
      </c>
      <c r="D66" s="60" t="s">
        <v>300</v>
      </c>
      <c r="E66" s="60" t="s">
        <v>301</v>
      </c>
      <c r="F66" s="60" t="s">
        <v>46</v>
      </c>
      <c r="G66" s="60" t="s">
        <v>110</v>
      </c>
    </row>
    <row r="67">
      <c r="A67" s="60" t="s">
        <v>223</v>
      </c>
      <c r="B67" s="61" t="s">
        <v>302</v>
      </c>
      <c r="C67" s="60" t="s">
        <v>303</v>
      </c>
      <c r="D67" s="60" t="s">
        <v>304</v>
      </c>
      <c r="E67" s="60" t="s">
        <v>305</v>
      </c>
      <c r="F67" s="60" t="s">
        <v>46</v>
      </c>
      <c r="G67" s="60" t="s">
        <v>110</v>
      </c>
    </row>
    <row r="68">
      <c r="A68" s="60" t="s">
        <v>223</v>
      </c>
      <c r="B68" s="61" t="s">
        <v>306</v>
      </c>
      <c r="C68" s="60" t="s">
        <v>307</v>
      </c>
      <c r="D68" s="60" t="s">
        <v>308</v>
      </c>
      <c r="E68" s="60" t="s">
        <v>309</v>
      </c>
      <c r="F68" s="60" t="s">
        <v>46</v>
      </c>
      <c r="G68" s="60" t="s">
        <v>110</v>
      </c>
    </row>
    <row r="69">
      <c r="A69" s="60" t="s">
        <v>223</v>
      </c>
      <c r="B69" s="61" t="s">
        <v>310</v>
      </c>
      <c r="C69" s="60" t="s">
        <v>311</v>
      </c>
      <c r="D69" s="60" t="s">
        <v>312</v>
      </c>
      <c r="E69" s="60" t="s">
        <v>313</v>
      </c>
      <c r="F69" s="60" t="s">
        <v>72</v>
      </c>
      <c r="G69" s="60" t="s">
        <v>110</v>
      </c>
    </row>
    <row r="70">
      <c r="A70" s="60" t="s">
        <v>223</v>
      </c>
      <c r="B70" s="61" t="s">
        <v>314</v>
      </c>
      <c r="C70" s="60" t="s">
        <v>315</v>
      </c>
      <c r="D70" s="60" t="s">
        <v>316</v>
      </c>
      <c r="E70" s="60" t="s">
        <v>317</v>
      </c>
      <c r="F70" s="60" t="s">
        <v>72</v>
      </c>
      <c r="G70" s="60" t="s">
        <v>110</v>
      </c>
    </row>
    <row r="71">
      <c r="A71" s="60" t="s">
        <v>223</v>
      </c>
      <c r="B71" s="61" t="s">
        <v>318</v>
      </c>
      <c r="C71" s="60" t="s">
        <v>319</v>
      </c>
      <c r="D71" s="60" t="s">
        <v>320</v>
      </c>
      <c r="E71" s="60" t="s">
        <v>321</v>
      </c>
      <c r="F71" s="60" t="s">
        <v>72</v>
      </c>
      <c r="G71" s="60" t="s">
        <v>110</v>
      </c>
    </row>
    <row r="72">
      <c r="A72" s="60" t="s">
        <v>223</v>
      </c>
      <c r="B72" s="61" t="s">
        <v>322</v>
      </c>
      <c r="C72" s="60" t="s">
        <v>323</v>
      </c>
      <c r="D72" s="60" t="s">
        <v>324</v>
      </c>
      <c r="E72" s="60" t="s">
        <v>325</v>
      </c>
      <c r="F72" s="60" t="s">
        <v>46</v>
      </c>
      <c r="G72" s="60" t="s">
        <v>326</v>
      </c>
    </row>
    <row r="73">
      <c r="A73" s="60" t="s">
        <v>223</v>
      </c>
      <c r="B73" s="61" t="s">
        <v>327</v>
      </c>
      <c r="C73" s="60" t="s">
        <v>328</v>
      </c>
      <c r="D73" s="60" t="s">
        <v>329</v>
      </c>
      <c r="E73" s="60" t="s">
        <v>330</v>
      </c>
      <c r="F73" s="60" t="s">
        <v>46</v>
      </c>
      <c r="G73" s="60" t="s">
        <v>326</v>
      </c>
    </row>
    <row r="74">
      <c r="A74" s="60" t="s">
        <v>223</v>
      </c>
      <c r="B74" s="61" t="s">
        <v>331</v>
      </c>
      <c r="C74" s="60" t="s">
        <v>332</v>
      </c>
      <c r="D74" s="60" t="s">
        <v>333</v>
      </c>
      <c r="E74" s="60" t="s">
        <v>334</v>
      </c>
      <c r="F74" s="60" t="s">
        <v>72</v>
      </c>
      <c r="G74" s="60" t="s">
        <v>335</v>
      </c>
    </row>
    <row r="75">
      <c r="A75" s="60" t="s">
        <v>336</v>
      </c>
      <c r="B75" s="61" t="s">
        <v>337</v>
      </c>
      <c r="C75" s="60" t="s">
        <v>338</v>
      </c>
      <c r="D75" s="60" t="s">
        <v>339</v>
      </c>
      <c r="E75" s="60" t="s">
        <v>340</v>
      </c>
      <c r="F75" s="60" t="s">
        <v>46</v>
      </c>
      <c r="G75" s="60" t="s">
        <v>110</v>
      </c>
    </row>
    <row r="76">
      <c r="A76" s="60" t="s">
        <v>336</v>
      </c>
      <c r="B76" s="61" t="s">
        <v>341</v>
      </c>
      <c r="C76" s="60" t="s">
        <v>342</v>
      </c>
      <c r="D76" s="60" t="s">
        <v>343</v>
      </c>
      <c r="E76" s="60" t="s">
        <v>344</v>
      </c>
      <c r="F76" s="60" t="s">
        <v>72</v>
      </c>
      <c r="G76" s="60" t="s">
        <v>345</v>
      </c>
    </row>
    <row r="77">
      <c r="A77" s="60" t="s">
        <v>336</v>
      </c>
      <c r="B77" s="61" t="s">
        <v>346</v>
      </c>
      <c r="C77" s="60" t="s">
        <v>347</v>
      </c>
      <c r="D77" s="60" t="s">
        <v>348</v>
      </c>
      <c r="E77" s="60" t="s">
        <v>349</v>
      </c>
      <c r="F77" s="60" t="s">
        <v>46</v>
      </c>
      <c r="G77" s="60" t="s">
        <v>110</v>
      </c>
    </row>
    <row r="78">
      <c r="A78" s="60" t="s">
        <v>336</v>
      </c>
      <c r="B78" s="61" t="s">
        <v>350</v>
      </c>
      <c r="C78" s="60" t="s">
        <v>351</v>
      </c>
      <c r="D78" s="60" t="s">
        <v>352</v>
      </c>
      <c r="E78" s="60" t="s">
        <v>353</v>
      </c>
      <c r="F78" s="60" t="s">
        <v>46</v>
      </c>
      <c r="G78" s="60" t="s">
        <v>110</v>
      </c>
    </row>
    <row r="79">
      <c r="A79" s="60" t="s">
        <v>336</v>
      </c>
      <c r="B79" s="61" t="s">
        <v>354</v>
      </c>
      <c r="C79" s="60" t="s">
        <v>355</v>
      </c>
      <c r="D79" s="60" t="s">
        <v>356</v>
      </c>
      <c r="E79" s="60" t="s">
        <v>357</v>
      </c>
      <c r="F79" s="60" t="s">
        <v>72</v>
      </c>
      <c r="G79" s="60" t="s">
        <v>110</v>
      </c>
    </row>
    <row r="80">
      <c r="A80" s="60" t="s">
        <v>336</v>
      </c>
      <c r="B80" s="61" t="s">
        <v>358</v>
      </c>
      <c r="C80" s="60" t="s">
        <v>359</v>
      </c>
      <c r="D80" s="60" t="s">
        <v>360</v>
      </c>
      <c r="E80" s="60" t="s">
        <v>361</v>
      </c>
      <c r="F80" s="60" t="s">
        <v>72</v>
      </c>
      <c r="G80" s="60" t="s">
        <v>110</v>
      </c>
    </row>
    <row r="81">
      <c r="A81" s="60" t="s">
        <v>336</v>
      </c>
      <c r="B81" s="61" t="s">
        <v>362</v>
      </c>
      <c r="C81" s="60" t="s">
        <v>363</v>
      </c>
      <c r="D81" s="60" t="s">
        <v>364</v>
      </c>
      <c r="E81" s="60" t="s">
        <v>365</v>
      </c>
      <c r="F81" s="60" t="s">
        <v>46</v>
      </c>
      <c r="G81" s="60" t="s">
        <v>110</v>
      </c>
    </row>
    <row r="82">
      <c r="A82" s="60" t="s">
        <v>336</v>
      </c>
      <c r="B82" s="61" t="s">
        <v>366</v>
      </c>
      <c r="C82" s="60" t="s">
        <v>367</v>
      </c>
      <c r="D82" s="60" t="s">
        <v>368</v>
      </c>
      <c r="E82" s="60" t="s">
        <v>369</v>
      </c>
      <c r="F82" s="60" t="s">
        <v>210</v>
      </c>
      <c r="G82" s="60" t="s">
        <v>110</v>
      </c>
    </row>
    <row r="83">
      <c r="A83" s="60" t="s">
        <v>336</v>
      </c>
      <c r="B83" s="61" t="s">
        <v>370</v>
      </c>
      <c r="C83" s="60" t="s">
        <v>371</v>
      </c>
      <c r="D83" s="60" t="s">
        <v>372</v>
      </c>
      <c r="E83" s="60" t="s">
        <v>373</v>
      </c>
      <c r="F83" s="60" t="s">
        <v>46</v>
      </c>
      <c r="G83" s="60" t="s">
        <v>110</v>
      </c>
    </row>
    <row r="84">
      <c r="A84" s="60" t="s">
        <v>336</v>
      </c>
      <c r="B84" s="61" t="s">
        <v>374</v>
      </c>
      <c r="C84" s="60" t="s">
        <v>375</v>
      </c>
      <c r="D84" s="60" t="s">
        <v>376</v>
      </c>
      <c r="E84" s="63" t="s">
        <v>377</v>
      </c>
      <c r="F84" s="60" t="s">
        <v>210</v>
      </c>
      <c r="G84" s="60" t="s">
        <v>378</v>
      </c>
    </row>
    <row r="85">
      <c r="A85" s="60" t="s">
        <v>336</v>
      </c>
      <c r="B85" s="61" t="s">
        <v>379</v>
      </c>
      <c r="C85" s="60" t="s">
        <v>380</v>
      </c>
      <c r="D85" s="60" t="s">
        <v>381</v>
      </c>
      <c r="E85" s="60" t="s">
        <v>382</v>
      </c>
      <c r="F85" s="60" t="s">
        <v>383</v>
      </c>
      <c r="G85" s="60" t="s">
        <v>378</v>
      </c>
    </row>
    <row r="86">
      <c r="A86" s="60" t="s">
        <v>336</v>
      </c>
      <c r="B86" s="61" t="s">
        <v>384</v>
      </c>
      <c r="C86" s="60" t="s">
        <v>385</v>
      </c>
      <c r="D86" s="60" t="s">
        <v>386</v>
      </c>
      <c r="E86" s="63" t="s">
        <v>387</v>
      </c>
      <c r="F86" s="60" t="s">
        <v>210</v>
      </c>
      <c r="G86" s="60" t="s">
        <v>378</v>
      </c>
    </row>
    <row r="87">
      <c r="A87" s="60" t="s">
        <v>336</v>
      </c>
      <c r="B87" s="61" t="s">
        <v>388</v>
      </c>
      <c r="C87" s="60" t="s">
        <v>389</v>
      </c>
      <c r="D87" s="60" t="s">
        <v>390</v>
      </c>
      <c r="E87" s="60" t="s">
        <v>391</v>
      </c>
      <c r="F87" s="60" t="s">
        <v>46</v>
      </c>
      <c r="G87" s="60" t="s">
        <v>378</v>
      </c>
    </row>
    <row r="88">
      <c r="A88" s="60" t="s">
        <v>336</v>
      </c>
      <c r="B88" s="61" t="s">
        <v>392</v>
      </c>
      <c r="C88" s="60" t="s">
        <v>393</v>
      </c>
      <c r="D88" s="60" t="s">
        <v>394</v>
      </c>
      <c r="E88" s="60" t="s">
        <v>395</v>
      </c>
      <c r="F88" s="60" t="s">
        <v>210</v>
      </c>
      <c r="G88" s="60" t="s">
        <v>378</v>
      </c>
    </row>
    <row r="89">
      <c r="A89" s="60" t="s">
        <v>336</v>
      </c>
      <c r="B89" s="61" t="s">
        <v>396</v>
      </c>
      <c r="C89" s="60" t="s">
        <v>397</v>
      </c>
      <c r="D89" s="60" t="s">
        <v>398</v>
      </c>
      <c r="E89" s="60" t="s">
        <v>399</v>
      </c>
      <c r="F89" s="60" t="s">
        <v>46</v>
      </c>
      <c r="G89" s="60" t="s">
        <v>378</v>
      </c>
    </row>
    <row r="90">
      <c r="A90" s="60" t="s">
        <v>336</v>
      </c>
      <c r="B90" s="61" t="s">
        <v>400</v>
      </c>
      <c r="C90" s="60" t="s">
        <v>401</v>
      </c>
      <c r="D90" s="60" t="s">
        <v>402</v>
      </c>
      <c r="E90" s="60" t="s">
        <v>403</v>
      </c>
      <c r="F90" s="60" t="s">
        <v>46</v>
      </c>
      <c r="G90" s="60" t="s">
        <v>378</v>
      </c>
    </row>
    <row r="91">
      <c r="A91" s="60" t="s">
        <v>336</v>
      </c>
      <c r="B91" s="61" t="s">
        <v>404</v>
      </c>
      <c r="C91" s="60" t="s">
        <v>405</v>
      </c>
      <c r="D91" s="60" t="s">
        <v>406</v>
      </c>
      <c r="E91" s="60" t="s">
        <v>407</v>
      </c>
      <c r="F91" s="60" t="s">
        <v>210</v>
      </c>
      <c r="G91" s="60" t="s">
        <v>110</v>
      </c>
    </row>
    <row r="92">
      <c r="A92" s="60" t="s">
        <v>336</v>
      </c>
      <c r="B92" s="61" t="s">
        <v>408</v>
      </c>
      <c r="C92" s="60" t="s">
        <v>409</v>
      </c>
      <c r="D92" s="60" t="s">
        <v>410</v>
      </c>
      <c r="E92" s="60" t="s">
        <v>411</v>
      </c>
      <c r="F92" s="60" t="s">
        <v>46</v>
      </c>
      <c r="G92" s="60" t="s">
        <v>110</v>
      </c>
    </row>
    <row r="93">
      <c r="A93" s="60" t="s">
        <v>336</v>
      </c>
      <c r="B93" s="61" t="s">
        <v>412</v>
      </c>
      <c r="C93" s="60" t="s">
        <v>413</v>
      </c>
      <c r="D93" s="60" t="s">
        <v>414</v>
      </c>
      <c r="E93" s="60" t="s">
        <v>415</v>
      </c>
      <c r="F93" s="60" t="s">
        <v>46</v>
      </c>
      <c r="G93" s="60" t="s">
        <v>110</v>
      </c>
    </row>
    <row r="94">
      <c r="A94" s="60" t="s">
        <v>336</v>
      </c>
      <c r="B94" s="61" t="s">
        <v>416</v>
      </c>
      <c r="C94" s="60" t="s">
        <v>417</v>
      </c>
      <c r="D94" s="60" t="s">
        <v>418</v>
      </c>
      <c r="E94" s="60" t="s">
        <v>419</v>
      </c>
      <c r="F94" s="60" t="s">
        <v>210</v>
      </c>
      <c r="G94" s="60" t="s">
        <v>378</v>
      </c>
    </row>
    <row r="95">
      <c r="A95" s="60" t="s">
        <v>336</v>
      </c>
      <c r="B95" s="61" t="s">
        <v>420</v>
      </c>
      <c r="C95" s="60" t="s">
        <v>421</v>
      </c>
      <c r="D95" s="60" t="s">
        <v>422</v>
      </c>
      <c r="E95" s="63" t="s">
        <v>423</v>
      </c>
      <c r="F95" s="60" t="s">
        <v>210</v>
      </c>
      <c r="G95" s="60" t="s">
        <v>378</v>
      </c>
    </row>
    <row r="96">
      <c r="A96" s="60" t="s">
        <v>336</v>
      </c>
      <c r="B96" s="61" t="s">
        <v>424</v>
      </c>
      <c r="C96" s="60" t="s">
        <v>425</v>
      </c>
      <c r="D96" s="60" t="s">
        <v>426</v>
      </c>
      <c r="E96" s="60" t="s">
        <v>395</v>
      </c>
      <c r="F96" s="60" t="s">
        <v>210</v>
      </c>
      <c r="G96" s="60" t="s">
        <v>378</v>
      </c>
    </row>
    <row r="97">
      <c r="A97" s="60" t="s">
        <v>427</v>
      </c>
      <c r="B97" s="61" t="s">
        <v>428</v>
      </c>
      <c r="C97" s="60" t="s">
        <v>429</v>
      </c>
      <c r="D97" s="60" t="s">
        <v>430</v>
      </c>
      <c r="E97" s="60" t="s">
        <v>431</v>
      </c>
      <c r="F97" s="60" t="s">
        <v>432</v>
      </c>
      <c r="G97" s="60" t="s">
        <v>433</v>
      </c>
    </row>
    <row r="98">
      <c r="A98" s="60" t="s">
        <v>427</v>
      </c>
      <c r="B98" s="61" t="s">
        <v>434</v>
      </c>
      <c r="C98" s="60" t="s">
        <v>435</v>
      </c>
      <c r="D98" s="60" t="s">
        <v>436</v>
      </c>
      <c r="E98" s="60" t="s">
        <v>437</v>
      </c>
      <c r="F98" s="60" t="s">
        <v>46</v>
      </c>
      <c r="G98" s="60" t="s">
        <v>433</v>
      </c>
    </row>
    <row r="99">
      <c r="A99" s="60" t="s">
        <v>427</v>
      </c>
      <c r="B99" s="61" t="s">
        <v>438</v>
      </c>
      <c r="C99" s="60" t="s">
        <v>439</v>
      </c>
      <c r="D99" s="60" t="s">
        <v>440</v>
      </c>
      <c r="E99" s="60" t="s">
        <v>441</v>
      </c>
      <c r="F99" s="60" t="s">
        <v>442</v>
      </c>
      <c r="G99" s="60" t="s">
        <v>433</v>
      </c>
    </row>
    <row r="100">
      <c r="A100" s="60" t="s">
        <v>427</v>
      </c>
      <c r="B100" s="61" t="s">
        <v>443</v>
      </c>
      <c r="C100" s="60" t="s">
        <v>444</v>
      </c>
      <c r="D100" s="60" t="s">
        <v>445</v>
      </c>
      <c r="E100" s="60" t="s">
        <v>446</v>
      </c>
      <c r="F100" s="60" t="s">
        <v>447</v>
      </c>
      <c r="G100" s="60" t="s">
        <v>433</v>
      </c>
    </row>
    <row r="101">
      <c r="A101" s="60" t="s">
        <v>427</v>
      </c>
      <c r="B101" s="61" t="s">
        <v>448</v>
      </c>
      <c r="C101" s="60" t="s">
        <v>449</v>
      </c>
      <c r="D101" s="60" t="s">
        <v>450</v>
      </c>
      <c r="E101" s="60" t="s">
        <v>451</v>
      </c>
      <c r="F101" s="60" t="s">
        <v>46</v>
      </c>
      <c r="G101" s="60" t="s">
        <v>433</v>
      </c>
    </row>
    <row r="102">
      <c r="A102" s="60" t="s">
        <v>427</v>
      </c>
      <c r="B102" s="61" t="s">
        <v>452</v>
      </c>
      <c r="C102" s="60" t="s">
        <v>453</v>
      </c>
      <c r="D102" s="60" t="s">
        <v>454</v>
      </c>
      <c r="E102" s="60" t="s">
        <v>455</v>
      </c>
      <c r="F102" s="60" t="s">
        <v>46</v>
      </c>
      <c r="G102" s="60" t="s">
        <v>433</v>
      </c>
    </row>
    <row r="103">
      <c r="A103" s="60" t="s">
        <v>427</v>
      </c>
      <c r="B103" s="61" t="s">
        <v>456</v>
      </c>
      <c r="C103" s="60" t="s">
        <v>457</v>
      </c>
      <c r="D103" s="60" t="s">
        <v>458</v>
      </c>
      <c r="E103" s="60" t="s">
        <v>459</v>
      </c>
      <c r="F103" s="60" t="s">
        <v>460</v>
      </c>
      <c r="G103" s="60" t="s">
        <v>433</v>
      </c>
    </row>
    <row r="104">
      <c r="A104" s="60" t="s">
        <v>427</v>
      </c>
      <c r="B104" s="61" t="s">
        <v>461</v>
      </c>
      <c r="C104" s="60" t="s">
        <v>462</v>
      </c>
      <c r="D104" s="60" t="s">
        <v>463</v>
      </c>
      <c r="E104" s="60" t="s">
        <v>464</v>
      </c>
      <c r="F104" s="60" t="s">
        <v>46</v>
      </c>
      <c r="G104" s="60" t="s">
        <v>433</v>
      </c>
    </row>
    <row r="105">
      <c r="A105" s="60" t="s">
        <v>427</v>
      </c>
      <c r="B105" s="61" t="s">
        <v>465</v>
      </c>
      <c r="C105" s="60" t="s">
        <v>466</v>
      </c>
      <c r="D105" s="60" t="s">
        <v>467</v>
      </c>
      <c r="E105" s="60" t="s">
        <v>468</v>
      </c>
      <c r="F105" s="60" t="s">
        <v>46</v>
      </c>
      <c r="G105" s="60" t="s">
        <v>433</v>
      </c>
    </row>
    <row r="106">
      <c r="A106" s="60" t="s">
        <v>427</v>
      </c>
      <c r="B106" s="61" t="s">
        <v>469</v>
      </c>
      <c r="C106" s="60" t="s">
        <v>470</v>
      </c>
      <c r="D106" s="60" t="s">
        <v>471</v>
      </c>
      <c r="E106" s="60" t="s">
        <v>472</v>
      </c>
      <c r="F106" s="60" t="s">
        <v>46</v>
      </c>
      <c r="G106" s="60" t="s">
        <v>433</v>
      </c>
    </row>
    <row r="107">
      <c r="A107" s="60" t="s">
        <v>427</v>
      </c>
      <c r="B107" s="61" t="s">
        <v>473</v>
      </c>
      <c r="C107" s="60" t="s">
        <v>474</v>
      </c>
      <c r="D107" s="60" t="s">
        <v>475</v>
      </c>
      <c r="E107" s="60" t="s">
        <v>476</v>
      </c>
      <c r="F107" s="60" t="s">
        <v>46</v>
      </c>
      <c r="G107" s="60" t="s">
        <v>433</v>
      </c>
    </row>
    <row r="108">
      <c r="A108" s="60" t="s">
        <v>427</v>
      </c>
      <c r="B108" s="61" t="s">
        <v>477</v>
      </c>
      <c r="C108" s="60" t="s">
        <v>478</v>
      </c>
      <c r="D108" s="60" t="s">
        <v>479</v>
      </c>
      <c r="E108" s="60" t="s">
        <v>480</v>
      </c>
      <c r="F108" s="60" t="s">
        <v>481</v>
      </c>
      <c r="G108" s="60" t="s">
        <v>78</v>
      </c>
    </row>
    <row r="109">
      <c r="A109" s="60" t="s">
        <v>427</v>
      </c>
      <c r="B109" s="61" t="s">
        <v>482</v>
      </c>
      <c r="C109" s="60" t="s">
        <v>483</v>
      </c>
      <c r="D109" s="60" t="s">
        <v>484</v>
      </c>
      <c r="E109" s="60" t="s">
        <v>485</v>
      </c>
      <c r="F109" s="60" t="s">
        <v>481</v>
      </c>
      <c r="G109" s="60" t="s">
        <v>78</v>
      </c>
    </row>
    <row r="110">
      <c r="A110" s="60" t="s">
        <v>427</v>
      </c>
      <c r="B110" s="61" t="s">
        <v>486</v>
      </c>
      <c r="C110" s="60" t="s">
        <v>487</v>
      </c>
      <c r="D110" s="60" t="s">
        <v>488</v>
      </c>
      <c r="E110" s="60" t="s">
        <v>489</v>
      </c>
      <c r="F110" s="60" t="s">
        <v>481</v>
      </c>
      <c r="G110" s="60" t="s">
        <v>78</v>
      </c>
    </row>
    <row r="111">
      <c r="A111" s="60" t="s">
        <v>427</v>
      </c>
      <c r="B111" s="61" t="s">
        <v>490</v>
      </c>
      <c r="C111" s="60" t="s">
        <v>491</v>
      </c>
      <c r="D111" s="60" t="s">
        <v>492</v>
      </c>
      <c r="E111" s="60" t="s">
        <v>493</v>
      </c>
      <c r="F111" s="60" t="s">
        <v>46</v>
      </c>
      <c r="G111" s="60" t="s">
        <v>433</v>
      </c>
    </row>
    <row r="112">
      <c r="A112" s="60" t="s">
        <v>427</v>
      </c>
      <c r="B112" s="61" t="s">
        <v>494</v>
      </c>
      <c r="C112" s="60" t="s">
        <v>495</v>
      </c>
      <c r="D112" s="60" t="s">
        <v>496</v>
      </c>
      <c r="E112" s="60" t="s">
        <v>497</v>
      </c>
      <c r="F112" s="60" t="s">
        <v>46</v>
      </c>
      <c r="G112" s="60" t="s">
        <v>433</v>
      </c>
    </row>
    <row r="113">
      <c r="A113" s="60" t="s">
        <v>427</v>
      </c>
      <c r="B113" s="61" t="s">
        <v>498</v>
      </c>
      <c r="C113" s="60" t="s">
        <v>499</v>
      </c>
      <c r="D113" s="60" t="s">
        <v>500</v>
      </c>
      <c r="E113" s="60" t="s">
        <v>501</v>
      </c>
      <c r="F113" s="60" t="s">
        <v>502</v>
      </c>
      <c r="G113" s="60" t="s">
        <v>433</v>
      </c>
    </row>
    <row r="114">
      <c r="A114" s="60" t="s">
        <v>427</v>
      </c>
      <c r="B114" s="61" t="s">
        <v>503</v>
      </c>
      <c r="C114" s="60" t="s">
        <v>504</v>
      </c>
      <c r="D114" s="60" t="s">
        <v>505</v>
      </c>
      <c r="E114" s="60" t="s">
        <v>506</v>
      </c>
      <c r="F114" s="60" t="s">
        <v>507</v>
      </c>
      <c r="G114" s="60" t="s">
        <v>433</v>
      </c>
    </row>
    <row r="115">
      <c r="A115" s="60" t="s">
        <v>427</v>
      </c>
      <c r="B115" s="61" t="s">
        <v>508</v>
      </c>
      <c r="C115" s="60" t="s">
        <v>509</v>
      </c>
      <c r="D115" s="60" t="s">
        <v>510</v>
      </c>
      <c r="E115" s="60" t="s">
        <v>511</v>
      </c>
      <c r="F115" s="60" t="s">
        <v>432</v>
      </c>
      <c r="G115" s="60" t="s">
        <v>433</v>
      </c>
    </row>
    <row r="116">
      <c r="A116" s="60" t="s">
        <v>427</v>
      </c>
      <c r="B116" s="61" t="s">
        <v>512</v>
      </c>
      <c r="C116" s="60" t="s">
        <v>513</v>
      </c>
      <c r="D116" s="60" t="s">
        <v>514</v>
      </c>
      <c r="E116" s="60" t="s">
        <v>515</v>
      </c>
      <c r="F116" s="60" t="s">
        <v>210</v>
      </c>
      <c r="G116" s="60" t="s">
        <v>433</v>
      </c>
    </row>
    <row r="117">
      <c r="A117" s="60" t="s">
        <v>427</v>
      </c>
      <c r="B117" s="61" t="s">
        <v>516</v>
      </c>
      <c r="C117" s="60" t="s">
        <v>517</v>
      </c>
      <c r="D117" s="60" t="s">
        <v>518</v>
      </c>
      <c r="E117" s="60" t="s">
        <v>519</v>
      </c>
      <c r="F117" s="60" t="s">
        <v>520</v>
      </c>
      <c r="G117" s="60" t="s">
        <v>433</v>
      </c>
    </row>
    <row r="118">
      <c r="A118" s="60" t="s">
        <v>521</v>
      </c>
      <c r="B118" s="61" t="s">
        <v>522</v>
      </c>
      <c r="C118" s="60" t="s">
        <v>523</v>
      </c>
      <c r="D118" s="60" t="s">
        <v>524</v>
      </c>
      <c r="E118" s="60" t="s">
        <v>525</v>
      </c>
      <c r="F118" s="60" t="s">
        <v>46</v>
      </c>
      <c r="G118" s="60" t="s">
        <v>526</v>
      </c>
    </row>
    <row r="119">
      <c r="A119" s="60" t="s">
        <v>521</v>
      </c>
      <c r="B119" s="61" t="s">
        <v>527</v>
      </c>
      <c r="C119" s="60" t="s">
        <v>528</v>
      </c>
      <c r="D119" s="60" t="s">
        <v>529</v>
      </c>
      <c r="E119" s="60" t="s">
        <v>530</v>
      </c>
      <c r="F119" s="60" t="s">
        <v>46</v>
      </c>
      <c r="G119" s="60" t="s">
        <v>526</v>
      </c>
    </row>
    <row r="120">
      <c r="A120" s="60" t="s">
        <v>521</v>
      </c>
      <c r="B120" s="61" t="s">
        <v>531</v>
      </c>
      <c r="C120" s="60" t="s">
        <v>532</v>
      </c>
      <c r="D120" s="60" t="s">
        <v>533</v>
      </c>
      <c r="E120" s="60" t="s">
        <v>534</v>
      </c>
      <c r="F120" s="60" t="s">
        <v>535</v>
      </c>
      <c r="G120" s="60" t="s">
        <v>526</v>
      </c>
    </row>
    <row r="121">
      <c r="A121" s="60" t="s">
        <v>521</v>
      </c>
      <c r="B121" s="61" t="s">
        <v>536</v>
      </c>
      <c r="C121" s="60" t="s">
        <v>537</v>
      </c>
      <c r="D121" s="60" t="s">
        <v>538</v>
      </c>
      <c r="E121" s="60" t="s">
        <v>539</v>
      </c>
      <c r="F121" s="60" t="s">
        <v>72</v>
      </c>
      <c r="G121" s="60" t="s">
        <v>433</v>
      </c>
    </row>
    <row r="122">
      <c r="A122" s="60" t="s">
        <v>521</v>
      </c>
      <c r="B122" s="61" t="s">
        <v>540</v>
      </c>
      <c r="C122" s="60" t="s">
        <v>541</v>
      </c>
      <c r="D122" s="60" t="s">
        <v>542</v>
      </c>
      <c r="E122" s="60" t="s">
        <v>543</v>
      </c>
      <c r="F122" s="60" t="s">
        <v>46</v>
      </c>
      <c r="G122" s="60" t="s">
        <v>110</v>
      </c>
    </row>
    <row r="123">
      <c r="A123" s="60" t="s">
        <v>521</v>
      </c>
      <c r="B123" s="61" t="s">
        <v>544</v>
      </c>
      <c r="C123" s="60" t="s">
        <v>545</v>
      </c>
      <c r="D123" s="60" t="s">
        <v>546</v>
      </c>
      <c r="E123" s="60" t="s">
        <v>547</v>
      </c>
      <c r="F123" s="60" t="s">
        <v>46</v>
      </c>
      <c r="G123" s="60" t="s">
        <v>110</v>
      </c>
    </row>
    <row r="124">
      <c r="A124" s="60" t="s">
        <v>521</v>
      </c>
      <c r="B124" s="61" t="s">
        <v>548</v>
      </c>
      <c r="C124" s="60" t="s">
        <v>549</v>
      </c>
      <c r="D124" s="60" t="s">
        <v>550</v>
      </c>
      <c r="E124" s="60" t="s">
        <v>551</v>
      </c>
      <c r="F124" s="60" t="s">
        <v>46</v>
      </c>
      <c r="G124" s="60" t="s">
        <v>110</v>
      </c>
    </row>
    <row r="125">
      <c r="A125" s="60" t="s">
        <v>521</v>
      </c>
      <c r="B125" s="61" t="s">
        <v>552</v>
      </c>
      <c r="C125" s="60" t="s">
        <v>553</v>
      </c>
      <c r="D125" s="60" t="s">
        <v>554</v>
      </c>
      <c r="E125" s="60" t="s">
        <v>555</v>
      </c>
      <c r="F125" s="60" t="s">
        <v>12</v>
      </c>
      <c r="G125" s="60" t="s">
        <v>526</v>
      </c>
    </row>
    <row r="126">
      <c r="A126" s="60" t="s">
        <v>521</v>
      </c>
      <c r="B126" s="61" t="s">
        <v>556</v>
      </c>
      <c r="C126" s="60" t="s">
        <v>557</v>
      </c>
      <c r="D126" s="60" t="s">
        <v>558</v>
      </c>
      <c r="E126" s="60" t="s">
        <v>559</v>
      </c>
      <c r="F126" s="60" t="s">
        <v>560</v>
      </c>
      <c r="G126" s="60" t="s">
        <v>526</v>
      </c>
    </row>
    <row r="127">
      <c r="A127" s="60" t="s">
        <v>521</v>
      </c>
      <c r="B127" s="61" t="s">
        <v>561</v>
      </c>
      <c r="C127" s="60" t="s">
        <v>562</v>
      </c>
      <c r="D127" s="60" t="s">
        <v>563</v>
      </c>
      <c r="E127" s="60" t="s">
        <v>564</v>
      </c>
      <c r="F127" s="60" t="s">
        <v>185</v>
      </c>
      <c r="G127" s="60" t="s">
        <v>433</v>
      </c>
    </row>
    <row r="128">
      <c r="A128" s="60" t="s">
        <v>521</v>
      </c>
      <c r="B128" s="61" t="s">
        <v>565</v>
      </c>
      <c r="C128" s="60" t="s">
        <v>566</v>
      </c>
      <c r="D128" s="60" t="s">
        <v>567</v>
      </c>
      <c r="E128" s="60"/>
      <c r="G128" s="60"/>
    </row>
    <row r="129">
      <c r="A129" s="60" t="s">
        <v>521</v>
      </c>
      <c r="B129" s="61" t="s">
        <v>568</v>
      </c>
      <c r="C129" s="60" t="s">
        <v>569</v>
      </c>
      <c r="D129" s="60" t="s">
        <v>570</v>
      </c>
      <c r="E129" s="60" t="s">
        <v>571</v>
      </c>
      <c r="F129" s="60" t="s">
        <v>210</v>
      </c>
      <c r="G129" s="60" t="s">
        <v>433</v>
      </c>
    </row>
    <row r="130">
      <c r="A130" s="60" t="s">
        <v>572</v>
      </c>
      <c r="B130" s="61" t="s">
        <v>573</v>
      </c>
      <c r="C130" s="60" t="s">
        <v>574</v>
      </c>
      <c r="D130" s="60" t="s">
        <v>575</v>
      </c>
      <c r="E130" s="60" t="s">
        <v>576</v>
      </c>
      <c r="F130" s="60" t="s">
        <v>12</v>
      </c>
      <c r="G130" s="60" t="s">
        <v>577</v>
      </c>
    </row>
    <row r="131">
      <c r="A131" s="60" t="s">
        <v>572</v>
      </c>
      <c r="B131" s="61" t="s">
        <v>578</v>
      </c>
      <c r="C131" s="60" t="s">
        <v>579</v>
      </c>
      <c r="D131" s="60" t="s">
        <v>580</v>
      </c>
      <c r="E131" s="60" t="s">
        <v>581</v>
      </c>
      <c r="F131" s="60" t="s">
        <v>12</v>
      </c>
      <c r="G131" s="60" t="s">
        <v>577</v>
      </c>
    </row>
    <row r="132">
      <c r="A132" s="60" t="s">
        <v>572</v>
      </c>
      <c r="B132" s="61" t="s">
        <v>582</v>
      </c>
      <c r="C132" s="60" t="s">
        <v>583</v>
      </c>
      <c r="D132" s="60" t="s">
        <v>584</v>
      </c>
      <c r="E132" s="60" t="s">
        <v>585</v>
      </c>
      <c r="F132" s="60" t="s">
        <v>12</v>
      </c>
      <c r="G132" s="60" t="s">
        <v>586</v>
      </c>
    </row>
    <row r="133">
      <c r="A133" s="60" t="s">
        <v>572</v>
      </c>
      <c r="B133" s="61" t="s">
        <v>587</v>
      </c>
      <c r="C133" s="60" t="s">
        <v>588</v>
      </c>
      <c r="D133" s="60" t="s">
        <v>589</v>
      </c>
      <c r="E133" s="60" t="s">
        <v>590</v>
      </c>
      <c r="F133" s="60" t="s">
        <v>46</v>
      </c>
      <c r="G133" s="60" t="s">
        <v>586</v>
      </c>
    </row>
    <row r="134">
      <c r="A134" s="60" t="s">
        <v>572</v>
      </c>
      <c r="B134" s="61" t="s">
        <v>591</v>
      </c>
      <c r="C134" s="60" t="s">
        <v>592</v>
      </c>
      <c r="D134" s="60" t="s">
        <v>593</v>
      </c>
      <c r="E134" s="60" t="s">
        <v>594</v>
      </c>
      <c r="F134" s="60" t="s">
        <v>595</v>
      </c>
      <c r="G134" s="60" t="s">
        <v>586</v>
      </c>
    </row>
    <row r="135">
      <c r="A135" s="60" t="s">
        <v>572</v>
      </c>
      <c r="B135" s="61" t="s">
        <v>596</v>
      </c>
      <c r="C135" s="60" t="s">
        <v>597</v>
      </c>
      <c r="D135" s="60" t="s">
        <v>598</v>
      </c>
      <c r="E135" s="60" t="s">
        <v>581</v>
      </c>
      <c r="F135" s="60" t="s">
        <v>210</v>
      </c>
      <c r="G135" s="60" t="s">
        <v>577</v>
      </c>
    </row>
    <row r="136">
      <c r="A136" s="60" t="s">
        <v>572</v>
      </c>
      <c r="B136" s="61" t="s">
        <v>599</v>
      </c>
      <c r="C136" s="60" t="s">
        <v>600</v>
      </c>
      <c r="D136" s="60" t="s">
        <v>601</v>
      </c>
      <c r="E136" s="60" t="s">
        <v>602</v>
      </c>
      <c r="F136" s="60" t="s">
        <v>46</v>
      </c>
      <c r="G136" s="60" t="s">
        <v>577</v>
      </c>
    </row>
    <row r="137">
      <c r="A137" s="60" t="s">
        <v>572</v>
      </c>
      <c r="B137" s="61" t="s">
        <v>603</v>
      </c>
      <c r="C137" s="60" t="s">
        <v>604</v>
      </c>
      <c r="D137" s="60" t="s">
        <v>605</v>
      </c>
      <c r="E137" s="60" t="s">
        <v>606</v>
      </c>
      <c r="F137" s="60" t="s">
        <v>210</v>
      </c>
      <c r="G137" s="60" t="s">
        <v>577</v>
      </c>
    </row>
    <row r="138">
      <c r="A138" s="60" t="s">
        <v>572</v>
      </c>
      <c r="B138" s="61" t="s">
        <v>607</v>
      </c>
      <c r="C138" s="60" t="s">
        <v>608</v>
      </c>
      <c r="D138" s="60" t="s">
        <v>609</v>
      </c>
      <c r="E138" s="60" t="s">
        <v>610</v>
      </c>
      <c r="F138" s="60" t="s">
        <v>46</v>
      </c>
      <c r="G138" s="60" t="s">
        <v>577</v>
      </c>
    </row>
    <row r="139">
      <c r="A139" s="60" t="s">
        <v>572</v>
      </c>
      <c r="B139" s="61" t="s">
        <v>611</v>
      </c>
      <c r="C139" s="60" t="s">
        <v>612</v>
      </c>
      <c r="D139" s="60" t="s">
        <v>613</v>
      </c>
      <c r="E139" s="60" t="s">
        <v>614</v>
      </c>
      <c r="F139" s="60" t="s">
        <v>12</v>
      </c>
      <c r="G139" s="60" t="s">
        <v>615</v>
      </c>
    </row>
    <row r="140">
      <c r="A140" s="60" t="s">
        <v>572</v>
      </c>
      <c r="B140" s="61" t="s">
        <v>616</v>
      </c>
      <c r="C140" s="60" t="s">
        <v>617</v>
      </c>
      <c r="D140" s="60" t="s">
        <v>618</v>
      </c>
      <c r="E140" s="60" t="s">
        <v>619</v>
      </c>
      <c r="F140" s="60" t="s">
        <v>46</v>
      </c>
      <c r="G140" s="60" t="s">
        <v>615</v>
      </c>
    </row>
    <row r="141">
      <c r="A141" s="60" t="s">
        <v>572</v>
      </c>
      <c r="B141" s="61" t="s">
        <v>620</v>
      </c>
      <c r="C141" s="60" t="s">
        <v>621</v>
      </c>
      <c r="D141" s="60" t="s">
        <v>622</v>
      </c>
      <c r="E141" s="60" t="s">
        <v>623</v>
      </c>
      <c r="F141" s="60" t="s">
        <v>12</v>
      </c>
      <c r="G141" s="60" t="s">
        <v>615</v>
      </c>
    </row>
    <row r="142">
      <c r="A142" s="60" t="s">
        <v>572</v>
      </c>
      <c r="B142" s="61" t="s">
        <v>624</v>
      </c>
      <c r="C142" s="60" t="s">
        <v>625</v>
      </c>
      <c r="D142" s="60" t="s">
        <v>626</v>
      </c>
      <c r="E142" s="60" t="s">
        <v>627</v>
      </c>
      <c r="F142" s="60" t="s">
        <v>46</v>
      </c>
      <c r="G142" s="60" t="s">
        <v>615</v>
      </c>
    </row>
    <row r="143">
      <c r="A143" s="60" t="s">
        <v>628</v>
      </c>
      <c r="B143" s="61" t="s">
        <v>629</v>
      </c>
      <c r="C143" s="60" t="s">
        <v>630</v>
      </c>
      <c r="D143" s="60" t="s">
        <v>631</v>
      </c>
      <c r="E143" s="60" t="s">
        <v>632</v>
      </c>
      <c r="F143" s="60" t="s">
        <v>12</v>
      </c>
      <c r="G143" s="60" t="s">
        <v>110</v>
      </c>
    </row>
    <row r="144">
      <c r="A144" s="60" t="s">
        <v>628</v>
      </c>
      <c r="B144" s="61" t="s">
        <v>633</v>
      </c>
      <c r="C144" s="60" t="s">
        <v>634</v>
      </c>
      <c r="D144" s="60" t="s">
        <v>635</v>
      </c>
      <c r="E144" s="60" t="s">
        <v>636</v>
      </c>
      <c r="F144" s="60" t="s">
        <v>12</v>
      </c>
      <c r="G144" s="60" t="s">
        <v>110</v>
      </c>
    </row>
    <row r="145">
      <c r="A145" s="60" t="s">
        <v>628</v>
      </c>
      <c r="B145" s="61" t="s">
        <v>637</v>
      </c>
      <c r="C145" s="60" t="s">
        <v>638</v>
      </c>
      <c r="D145" s="60" t="s">
        <v>639</v>
      </c>
      <c r="E145" s="60"/>
      <c r="F145" s="60"/>
      <c r="G145" s="60" t="s">
        <v>640</v>
      </c>
    </row>
  </sheetData>
  <drawing r:id="rId1"/>
</worksheet>
</file>